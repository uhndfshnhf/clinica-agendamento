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ece aqui" sheetId="1" r:id="rId1"/>
    <sheet name="CRM" sheetId="2" r:id="rId2"/>
    <sheet name="Listas" sheetId="3" state="hidden" r:id="rId3"/>
    <sheet name="Resumo" sheetId="4" r:id="rId4"/>
    <sheet name="Exemplo fictício" sheetId="5" r:id="rId5"/>
  </sheets>
  <definedNames>
    <definedName name="Etapas">Listas!$A$1:$A$9</definedName>
    <definedName name="Motivos">Listas!$D$1:$D$6</definedName>
    <definedName name="Origens">Listas!$B$1:$B$8</definedName>
    <definedName name="Preferencias">Listas!$C$1:$C$3</definedName>
    <definedName name="_xlnm.Print_Area" localSheetId="0">'Comece aqui'!$B$1:$H$38</definedName>
    <definedName name="_xlnm.Print_Area" localSheetId="3">Resumo!$B$2:$M$35</definedName>
    <definedName name="_xlnm.Print_Titles" localSheetId="1">CRM!$4:$4</definedName>
  </definedNames>
  <calcPr calcId="124519" fullCalcOnLoad="1"/>
</workbook>
</file>

<file path=xl/sharedStrings.xml><?xml version="1.0" encoding="utf-8"?>
<sst xmlns="http://schemas.openxmlformats.org/spreadsheetml/2006/main" count="137" uniqueCount="94">
  <si>
    <t>Seu CRM de vendas para clínicas</t>
  </si>
  <si>
    <t>Registre os contatos na aba CRM. A aba Resumo acompanha o funil e os próximos retornos. Os exemplos fictícios ficam separados e não entram nos indicadores.</t>
  </si>
  <si>
    <t>1 · Cadastre a clínica</t>
  </si>
  <si>
    <t>Preencha clínica, cidade, responsável e o canal comercial divulgado. Escreva uma observação concreta sobre o negócio.</t>
  </si>
  <si>
    <t>2 · Atualize a etapa</t>
  </si>
  <si>
    <t>Use a lista da coluna Etapa conforme a conversa avança. Registre cada contato e o próximo passo.</t>
  </si>
  <si>
    <t>3 · Agende o retorno</t>
  </si>
  <si>
    <t>Informe Próximo contato e Próxima ação. Situação do retorno sinaliza atrasos e contatos previstos para hoje.</t>
  </si>
  <si>
    <t>4 · Respeite a preferência</t>
  </si>
  <si>
    <t>Selecione Não contatar quando houver recusa. Isso prevalece sobre o alerta de retorno. A planilha não envia mensagens.</t>
  </si>
  <si>
    <t>5 · Registre a proposta</t>
  </si>
  <si>
    <t>Informe implantação e mensalidade em suas colunas. Ao fechar, marque Fechado e preencha Data do fechamento.</t>
  </si>
  <si>
    <t>6 · Acompanhe os resultados</t>
  </si>
  <si>
    <t>Veja o Resumo. Pipeline de propostas soma somente Proposta enviada e Negociação; valores fechados somam somente Fechado.</t>
  </si>
  <si>
    <t>Como editar: células de entrada usam texto azul; a coluna Situação do retorno é calculada. Há espaço para 200 clínicas. Se precisar ampliar, atualize também os intervalos das fórmulas e validações. Abra no Excel ou importe pelo Google Planilhas para editar. O Resumo recalcula ao abrir em um aplicativo de planilhas.</t>
  </si>
  <si>
    <t>Referência comercial discutida: implantação de R$ 3.490 e manutenção de R$ 397/mês. São sugestões iniciais: ajuste ao escopo, aos custos e ao suporte oferecido. Custos externos e serviços ainda não implementados devem ser definidos separadamente.</t>
  </si>
  <si>
    <t>CRM · Prospecção e acompanhamento</t>
  </si>
  <si>
    <t>Preencha as células em azul. Use os filtros para selecionar etapa, origem e retornos pendentes. Não substitua as fórmulas da última coluna.</t>
  </si>
  <si>
    <t>Clínica</t>
  </si>
  <si>
    <t>Cidade / UF</t>
  </si>
  <si>
    <t>Responsável</t>
  </si>
  <si>
    <t>WhatsApp comercial</t>
  </si>
  <si>
    <t>E-mail comercial</t>
  </si>
  <si>
    <t>Instagram / site</t>
  </si>
  <si>
    <t>Origem</t>
  </si>
  <si>
    <t>Etapa</t>
  </si>
  <si>
    <t>Interesse / necessidade</t>
  </si>
  <si>
    <t>Último contato</t>
  </si>
  <si>
    <t>Próximo contato</t>
  </si>
  <si>
    <t>Próxima ação</t>
  </si>
  <si>
    <t>Preferência de contato</t>
  </si>
  <si>
    <t>Implantação proposta (R$)</t>
  </si>
  <si>
    <t>Mensalidade proposta (R$)</t>
  </si>
  <si>
    <t>Data do fechamento</t>
  </si>
  <si>
    <t>Motivo da perda</t>
  </si>
  <si>
    <t>Observações</t>
  </si>
  <si>
    <t>Situação do retorno</t>
  </si>
  <si>
    <t>Prospectar</t>
  </si>
  <si>
    <t>Contatado</t>
  </si>
  <si>
    <t>Em conversa</t>
  </si>
  <si>
    <t>Demonstração marcada</t>
  </si>
  <si>
    <t>Proposta enviada</t>
  </si>
  <si>
    <t>Negociação</t>
  </si>
  <si>
    <t>Fechado</t>
  </si>
  <si>
    <t>Perdido</t>
  </si>
  <si>
    <t>Retomar depois</t>
  </si>
  <si>
    <t>Google Maps</t>
  </si>
  <si>
    <t>Instagram</t>
  </si>
  <si>
    <t>Indicação</t>
  </si>
  <si>
    <t>WhatsApp</t>
  </si>
  <si>
    <t>E-mail</t>
  </si>
  <si>
    <t>Anúncio</t>
  </si>
  <si>
    <t>Evento</t>
  </si>
  <si>
    <t>Outro</t>
  </si>
  <si>
    <t>A confirmar</t>
  </si>
  <si>
    <t>Autorizado</t>
  </si>
  <si>
    <t>Não contatar</t>
  </si>
  <si>
    <t>Sem interesse</t>
  </si>
  <si>
    <t>Sem orçamento</t>
  </si>
  <si>
    <t>Já tem solução</t>
  </si>
  <si>
    <t>Sem retorno</t>
  </si>
  <si>
    <t>Sem prioridade</t>
  </si>
  <si>
    <t>Resumo comercial</t>
  </si>
  <si>
    <t>Indicadores calculados a partir das clínicas preenchidas na aba CRM.</t>
  </si>
  <si>
    <t>Clínicas cadastradas</t>
  </si>
  <si>
    <t>Retornos atrasados</t>
  </si>
  <si>
    <t>Retornos para hoje</t>
  </si>
  <si>
    <t>Contratos fechados</t>
  </si>
  <si>
    <t>Implantação fechada</t>
  </si>
  <si>
    <t>Mensalidade contratada</t>
  </si>
  <si>
    <t>Funil por etapa</t>
  </si>
  <si>
    <t>Clínicas</t>
  </si>
  <si>
    <t>Pipeline de propostas (implantação)</t>
  </si>
  <si>
    <t>Mensalidade contratada é a soma das propostas marcadas como Fechado; não representa pagamentos recebidos. O pipeline considera implantação das propostas em negociação, sem estimar probabilidade de fechamento. Registre cobranças e recebimentos em um controle financeiro separado.</t>
  </si>
  <si>
    <t>Exemplos fictícios · não entram no Resumo</t>
  </si>
  <si>
    <t>Use estas três linhas como referência de preenchimento. Não são contatos reais. Cadastre suas clínicas somente na aba CRM.</t>
  </si>
  <si>
    <t>Clínica Aurora · exemplo</t>
  </si>
  <si>
    <t>São Paulo / SP</t>
  </si>
  <si>
    <t>Responsável fictício</t>
  </si>
  <si>
    <t>Quer organizar os pedidos do WhatsApp</t>
  </si>
  <si>
    <t>Apresentar o fluxo de solicitação e aprovação</t>
  </si>
  <si>
    <t>Demonstração de 15 minutos</t>
  </si>
  <si>
    <t>Agendado</t>
  </si>
  <si>
    <t>Clínica Horizonte · exemplo</t>
  </si>
  <si>
    <t>Campinas / SP</t>
  </si>
  <si>
    <t>Precisa atualizar tratamentos e fotos</t>
  </si>
  <si>
    <t>Verificar dúvidas sobre a proposta</t>
  </si>
  <si>
    <t>Combinar prazo após receber o material</t>
  </si>
  <si>
    <t>Hoje</t>
  </si>
  <si>
    <t>Clínica Jardim · exemplo</t>
  </si>
  <si>
    <t>Curitiba / PR</t>
  </si>
  <si>
    <t>Sem prioridade neste momento</t>
  </si>
  <si>
    <t>Encerrar os retornos</t>
  </si>
  <si>
    <t>Respeitar a preferência registrada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</si>
</sst>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&quot;R$&quot; #,##0.00"/>
  </numFmts>
  <fonts count="9">
    <font>
      <sz val="11"/>
      <color theme="1"/>
      <name val="Calibri"/>
      <family val="2"/>
      <scheme val="minor"/>
    </font>
    <font>
      <b/>
      <sz val="24"/>
      <color rgb="FF293E38"/>
      <name val="Calibri"/>
      <family val="2"/>
      <scheme val="minor"/>
    </font>
    <font>
      <sz val="12"/>
      <color rgb="FF69757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293E38"/>
      <name val="Calibri"/>
      <family val="2"/>
      <scheme val="minor"/>
    </font>
    <font>
      <sz val="10"/>
      <color rgb="FF697570"/>
      <name val="Calibri"/>
      <family val="2"/>
      <scheme val="minor"/>
    </font>
    <font>
      <sz val="11"/>
      <color rgb="FF1B5676"/>
      <name val="Calibri"/>
      <family val="2"/>
      <scheme val="minor"/>
    </font>
    <font>
      <b/>
      <sz val="11"/>
      <color rgb="FF697570"/>
      <name val="Calibri"/>
      <family val="2"/>
      <scheme val="minor"/>
    </font>
    <font>
      <b/>
      <sz val="22"/>
      <color rgb="FF293E3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7F3EF"/>
        <bgColor indexed="64"/>
      </patternFill>
    </fill>
    <fill>
      <patternFill patternType="solid">
        <fgColor rgb="FF293E38"/>
        <bgColor indexed="64"/>
      </patternFill>
    </fill>
    <fill>
      <patternFill patternType="solid">
        <fgColor rgb="FFE6EC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vertical="top"/>
    </xf>
    <xf numFmtId="164" fontId="6" fillId="0" borderId="0" xfId="0" applyNumberFormat="1" applyFont="1" applyAlignment="1">
      <alignment vertical="top"/>
    </xf>
    <xf numFmtId="165" fontId="6" fillId="0" borderId="0" xfId="0" applyNumberFormat="1" applyFont="1" applyAlignment="1">
      <alignment vertical="top"/>
    </xf>
    <xf numFmtId="0" fontId="4" fillId="4" borderId="0" xfId="0" applyFont="1" applyFill="1" applyAlignment="1">
      <alignment vertical="top"/>
    </xf>
    <xf numFmtId="0" fontId="7" fillId="4" borderId="0" xfId="0" applyFont="1" applyFill="1"/>
    <xf numFmtId="0" fontId="1" fillId="4" borderId="0" xfId="0" applyFont="1" applyFill="1"/>
    <xf numFmtId="165" fontId="8" fillId="4" borderId="0" xfId="0" applyNumberFormat="1" applyFont="1" applyFill="1"/>
    <xf numFmtId="1" fontId="4" fillId="0" borderId="0" xfId="0" applyNumberFormat="1" applyFont="1"/>
  </cellXfs>
  <cellStyles count="1">
    <cellStyle name="Normal" xfId="0" builtinId="0"/>
  </cellStyles>
  <dxfs count="8">
    <dxf>
      <font>
        <color rgb="FF1B5676"/>
      </font>
    </dxf>
    <dxf>
      <font>
        <color rgb="FF1B5676"/>
      </font>
      <numFmt numFmtId="164" formatCode="dd/mm/yyyy"/>
    </dxf>
    <dxf>
      <font>
        <color rgb="FF1B5676"/>
      </font>
      <numFmt numFmtId="165" formatCode="&quot;R$&quot; #,##0.00"/>
    </dxf>
    <dxf>
      <font>
        <color rgb="FF293E38"/>
      </font>
      <fill>
        <patternFill>
          <bgColor rgb="FFE6ECE6"/>
        </patternFill>
      </fill>
    </dxf>
    <dxf>
      <font>
        <color rgb="FF8B302B"/>
      </font>
      <fill>
        <patternFill>
          <bgColor rgb="FFFBE5E2"/>
        </patternFill>
      </fill>
    </dxf>
    <dxf>
      <font>
        <color rgb="FF77591E"/>
      </font>
      <fill>
        <patternFill>
          <bgColor rgb="FFFFF0D0"/>
        </patternFill>
      </fill>
    </dxf>
    <dxf>
      <font>
        <color rgb="FF285935"/>
      </font>
      <fill>
        <patternFill>
          <bgColor rgb="FFE6F0E6"/>
        </patternFill>
      </fill>
    </dxf>
    <dxf>
      <font>
        <color rgb="FF293E38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Funil comercial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Clínicas por etapa</c:v>
          </c:tx>
          <c:spPr>
            <a:solidFill>
              <a:srgbClr val="293E38"/>
            </a:solidFill>
            <a:ln>
              <a:noFill/>
            </a:ln>
          </c:spPr>
          <c:cat>
            <c:strRef>
              <c:f>'Resumo'!$B$18:$B$26</c:f>
              <c:strCache>
                <c:ptCount val="9"/>
                <c:pt idx="0">
                  <c:v>Prospectar</c:v>
                </c:pt>
                <c:pt idx="1">
                  <c:v>Contatado</c:v>
                </c:pt>
                <c:pt idx="2">
                  <c:v>Em conversa</c:v>
                </c:pt>
                <c:pt idx="3">
                  <c:v>Demonstração marcada</c:v>
                </c:pt>
                <c:pt idx="4">
                  <c:v>Proposta enviada</c:v>
                </c:pt>
                <c:pt idx="5">
                  <c:v>Negociação</c:v>
                </c:pt>
                <c:pt idx="6">
                  <c:v>Fechado</c:v>
                </c:pt>
                <c:pt idx="7">
                  <c:v>Perdido</c:v>
                </c:pt>
                <c:pt idx="8">
                  <c:v>Retomar depois</c:v>
                </c:pt>
              </c:strCache>
            </c:strRef>
          </c:cat>
          <c:val>
            <c:numRef>
              <c:f>'Resumo'!$E$18:$E$26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/>
        <c:numFmt formatCode="0" sourceLinked="0"/>
        <c:tickLblPos val="nextTo"/>
        <c:crossAx val="50010001"/>
        <c:crosses val="autoZero"/>
        <c:crossBetween val="between"/>
        <c:majorUnit val="1"/>
      </c:valAx>
    </c:plotArea>
    <c:plotVisOnly val="1"/>
  </c:chart>
  <c:spPr>
    <a:solidFill>
      <a:srgbClr val="F7F3E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12</xdr:col>
      <xdr:colOff>533400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ontatosCRM" displayName="ContatosCRM" ref="A4:S204" totalsRowShown="0">
  <autoFilter ref="A4:S204"/>
  <tableColumns count="19">
    <tableColumn id="1" name="Clínica" dataDxfId="0"/>
    <tableColumn id="2" name="Cidade / UF" dataDxfId="0"/>
    <tableColumn id="3" name="Responsável" dataDxfId="0"/>
    <tableColumn id="4" name="WhatsApp comercial" dataDxfId="0"/>
    <tableColumn id="5" name="E-mail comercial" dataDxfId="0"/>
    <tableColumn id="6" name="Instagram / site" dataDxfId="0"/>
    <tableColumn id="7" name="Origem" dataDxfId="0"/>
    <tableColumn id="8" name="Etapa" dataDxfId="0"/>
    <tableColumn id="9" name="Interesse / necessidade" dataDxfId="0"/>
    <tableColumn id="10" name="Último contato" dataDxfId="1"/>
    <tableColumn id="11" name="Próximo contato" dataDxfId="1"/>
    <tableColumn id="12" name="Próxima ação" dataDxfId="0"/>
    <tableColumn id="13" name="Preferência de contato" dataDxfId="0"/>
    <tableColumn id="14" name="Implantação proposta (R$)" dataDxfId="2"/>
    <tableColumn id="15" name="Mensalidade proposta (R$)" dataDxfId="2"/>
    <tableColumn id="16" name="Data do fechamento" dataDxfId="1"/>
    <tableColumn id="17" name="Motivo da perda" dataDxfId="0"/>
    <tableColumn id="18" name="Observações" dataDxfId="0"/>
    <tableColumn id="19" name="Situação do retorno" dataDxfId="3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ExemplosFicticios" displayName="ExemplosFicticios" ref="A4:S7" totalsRowShown="0">
  <autoFilter ref="A4:S7"/>
  <tableColumns count="19">
    <tableColumn id="1" name="Clínica" dataDxfId="7"/>
    <tableColumn id="2" name="Cidade / UF" dataDxfId="7"/>
    <tableColumn id="3" name="Responsável" dataDxfId="7"/>
    <tableColumn id="4" name="WhatsApp comercial" dataDxfId="7"/>
    <tableColumn id="5" name="E-mail comercial" dataDxfId="7"/>
    <tableColumn id="6" name="Instagram / site" dataDxfId="7"/>
    <tableColumn id="7" name="Origem" dataDxfId="7"/>
    <tableColumn id="8" name="Etapa" dataDxfId="7"/>
    <tableColumn id="9" name="Interesse / necessidade" dataDxfId="7"/>
    <tableColumn id="10" name="Último contato" dataDxfId="1"/>
    <tableColumn id="11" name="Próximo contato" dataDxfId="1"/>
    <tableColumn id="12" name="Próxima ação" dataDxfId="7"/>
    <tableColumn id="13" name="Preferência de contato" dataDxfId="7"/>
    <tableColumn id="14" name="Implantação proposta (R$)" dataDxfId="2"/>
    <tableColumn id="15" name="Mensalidade proposta (R$)" dataDxfId="2"/>
    <tableColumn id="16" name="Data do fechamento" dataDxfId="1"/>
    <tableColumn id="17" name="Motivo da perda" dataDxfId="7"/>
    <tableColumn id="18" name="Observações" dataDxfId="7"/>
    <tableColumn id="19" name="Situação do retorno" dataDxfId="7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37"/>
  <sheetViews>
    <sheetView showGridLines="0" tabSelected="1" workbookViewId="0"/>
  </sheetViews>
  <sheetFormatPr defaultRowHeight="15"/>
  <cols>
    <col min="1" max="1" width="3.7109375" customWidth="1"/>
    <col min="2" max="8" width="13.7109375" customWidth="1"/>
  </cols>
  <sheetData>
    <row r="2" spans="2:8" ht="52" customHeight="1">
      <c r="B2" s="1" t="s">
        <v>0</v>
      </c>
      <c r="C2" s="1"/>
      <c r="D2" s="1"/>
      <c r="E2" s="1"/>
      <c r="F2" s="1"/>
      <c r="G2" s="1"/>
      <c r="H2" s="1"/>
    </row>
    <row r="4" spans="2:8">
      <c r="B4" s="2" t="s">
        <v>1</v>
      </c>
      <c r="C4" s="2"/>
      <c r="D4" s="2"/>
      <c r="E4" s="2"/>
      <c r="F4" s="2"/>
      <c r="G4" s="2"/>
      <c r="H4" s="2"/>
    </row>
    <row r="5" spans="2:8">
      <c r="B5" s="2"/>
      <c r="C5" s="2"/>
      <c r="D5" s="2"/>
      <c r="E5" s="2"/>
      <c r="F5" s="2"/>
      <c r="G5" s="2"/>
      <c r="H5" s="2"/>
    </row>
    <row r="7" spans="2:8" ht="27" customHeight="1">
      <c r="B7" s="3" t="s">
        <v>2</v>
      </c>
      <c r="C7" s="3"/>
      <c r="D7" s="3"/>
      <c r="E7" s="3"/>
      <c r="F7" s="3"/>
      <c r="G7" s="3"/>
      <c r="H7" s="3"/>
    </row>
    <row r="8" spans="2:8" ht="24" customHeight="1">
      <c r="B8" s="4" t="s">
        <v>3</v>
      </c>
      <c r="C8" s="4"/>
      <c r="D8" s="4"/>
      <c r="E8" s="4"/>
      <c r="F8" s="4"/>
      <c r="G8" s="4"/>
      <c r="H8" s="4"/>
    </row>
    <row r="9" spans="2:8" ht="24" customHeight="1">
      <c r="B9" s="4"/>
      <c r="C9" s="4"/>
      <c r="D9" s="4"/>
      <c r="E9" s="4"/>
      <c r="F9" s="4"/>
      <c r="G9" s="4"/>
      <c r="H9" s="4"/>
    </row>
    <row r="11" spans="2:8" ht="27" customHeight="1">
      <c r="B11" s="3" t="s">
        <v>4</v>
      </c>
      <c r="C11" s="3"/>
      <c r="D11" s="3"/>
      <c r="E11" s="3"/>
      <c r="F11" s="3"/>
      <c r="G11" s="3"/>
      <c r="H11" s="3"/>
    </row>
    <row r="12" spans="2:8" ht="24" customHeight="1">
      <c r="B12" s="4" t="s">
        <v>5</v>
      </c>
      <c r="C12" s="4"/>
      <c r="D12" s="4"/>
      <c r="E12" s="4"/>
      <c r="F12" s="4"/>
      <c r="G12" s="4"/>
      <c r="H12" s="4"/>
    </row>
    <row r="13" spans="2:8" ht="24" customHeight="1">
      <c r="B13" s="4"/>
      <c r="C13" s="4"/>
      <c r="D13" s="4"/>
      <c r="E13" s="4"/>
      <c r="F13" s="4"/>
      <c r="G13" s="4"/>
      <c r="H13" s="4"/>
    </row>
    <row r="15" spans="2:8" ht="27" customHeight="1">
      <c r="B15" s="3" t="s">
        <v>6</v>
      </c>
      <c r="C15" s="3"/>
      <c r="D15" s="3"/>
      <c r="E15" s="3"/>
      <c r="F15" s="3"/>
      <c r="G15" s="3"/>
      <c r="H15" s="3"/>
    </row>
    <row r="16" spans="2:8" ht="24" customHeight="1">
      <c r="B16" s="4" t="s">
        <v>7</v>
      </c>
      <c r="C16" s="4"/>
      <c r="D16" s="4"/>
      <c r="E16" s="4"/>
      <c r="F16" s="4"/>
      <c r="G16" s="4"/>
      <c r="H16" s="4"/>
    </row>
    <row r="17" spans="2:8" ht="24" customHeight="1">
      <c r="B17" s="4"/>
      <c r="C17" s="4"/>
      <c r="D17" s="4"/>
      <c r="E17" s="4"/>
      <c r="F17" s="4"/>
      <c r="G17" s="4"/>
      <c r="H17" s="4"/>
    </row>
    <row r="19" spans="2:8" ht="27" customHeight="1">
      <c r="B19" s="3" t="s">
        <v>8</v>
      </c>
      <c r="C19" s="3"/>
      <c r="D19" s="3"/>
      <c r="E19" s="3"/>
      <c r="F19" s="3"/>
      <c r="G19" s="3"/>
      <c r="H19" s="3"/>
    </row>
    <row r="20" spans="2:8" ht="24" customHeight="1">
      <c r="B20" s="4" t="s">
        <v>9</v>
      </c>
      <c r="C20" s="4"/>
      <c r="D20" s="4"/>
      <c r="E20" s="4"/>
      <c r="F20" s="4"/>
      <c r="G20" s="4"/>
      <c r="H20" s="4"/>
    </row>
    <row r="21" spans="2:8" ht="24" customHeight="1">
      <c r="B21" s="4"/>
      <c r="C21" s="4"/>
      <c r="D21" s="4"/>
      <c r="E21" s="4"/>
      <c r="F21" s="4"/>
      <c r="G21" s="4"/>
      <c r="H21" s="4"/>
    </row>
    <row r="23" spans="2:8" ht="27" customHeight="1">
      <c r="B23" s="3" t="s">
        <v>10</v>
      </c>
      <c r="C23" s="3"/>
      <c r="D23" s="3"/>
      <c r="E23" s="3"/>
      <c r="F23" s="3"/>
      <c r="G23" s="3"/>
      <c r="H23" s="3"/>
    </row>
    <row r="24" spans="2:8" ht="24" customHeight="1">
      <c r="B24" s="4" t="s">
        <v>11</v>
      </c>
      <c r="C24" s="4"/>
      <c r="D24" s="4"/>
      <c r="E24" s="4"/>
      <c r="F24" s="4"/>
      <c r="G24" s="4"/>
      <c r="H24" s="4"/>
    </row>
    <row r="25" spans="2:8" ht="24" customHeight="1">
      <c r="B25" s="4"/>
      <c r="C25" s="4"/>
      <c r="D25" s="4"/>
      <c r="E25" s="4"/>
      <c r="F25" s="4"/>
      <c r="G25" s="4"/>
      <c r="H25" s="4"/>
    </row>
    <row r="27" spans="2:8" ht="27" customHeight="1">
      <c r="B27" s="3" t="s">
        <v>12</v>
      </c>
      <c r="C27" s="3"/>
      <c r="D27" s="3"/>
      <c r="E27" s="3"/>
      <c r="F27" s="3"/>
      <c r="G27" s="3"/>
      <c r="H27" s="3"/>
    </row>
    <row r="28" spans="2:8" ht="24" customHeight="1">
      <c r="B28" s="4" t="s">
        <v>13</v>
      </c>
      <c r="C28" s="4"/>
      <c r="D28" s="4"/>
      <c r="E28" s="4"/>
      <c r="F28" s="4"/>
      <c r="G28" s="4"/>
      <c r="H28" s="4"/>
    </row>
    <row r="29" spans="2:8" ht="24" customHeight="1">
      <c r="B29" s="4"/>
      <c r="C29" s="4"/>
      <c r="D29" s="4"/>
      <c r="E29" s="4"/>
      <c r="F29" s="4"/>
      <c r="G29" s="4"/>
      <c r="H29" s="4"/>
    </row>
    <row r="31" spans="2:8">
      <c r="B31" s="5" t="s">
        <v>14</v>
      </c>
      <c r="C31" s="5"/>
      <c r="D31" s="5"/>
      <c r="E31" s="5"/>
      <c r="F31" s="5"/>
      <c r="G31" s="5"/>
      <c r="H31" s="5"/>
    </row>
    <row r="32" spans="2:8">
      <c r="B32" s="5"/>
      <c r="C32" s="5"/>
      <c r="D32" s="5"/>
      <c r="E32" s="5"/>
      <c r="F32" s="5"/>
      <c r="G32" s="5"/>
      <c r="H32" s="5"/>
    </row>
    <row r="33" spans="2:8">
      <c r="B33" s="5"/>
      <c r="C33" s="5"/>
      <c r="D33" s="5"/>
      <c r="E33" s="5"/>
      <c r="F33" s="5"/>
      <c r="G33" s="5"/>
      <c r="H33" s="5"/>
    </row>
    <row r="35" spans="2:8">
      <c r="B35" s="5" t="s">
        <v>15</v>
      </c>
      <c r="C35" s="5"/>
      <c r="D35" s="5"/>
      <c r="E35" s="5"/>
      <c r="F35" s="5"/>
      <c r="G35" s="5"/>
      <c r="H35" s="5"/>
    </row>
    <row r="36" spans="2:8">
      <c r="B36" s="5"/>
      <c r="C36" s="5"/>
      <c r="D36" s="5"/>
      <c r="E36" s="5"/>
      <c r="F36" s="5"/>
      <c r="G36" s="5"/>
      <c r="H36" s="5"/>
    </row>
    <row r="37" spans="2:8">
      <c r="B37" s="5"/>
      <c r="C37" s="5"/>
      <c r="D37" s="5"/>
      <c r="E37" s="5"/>
      <c r="F37" s="5"/>
      <c r="G37" s="5"/>
      <c r="H37" s="5"/>
    </row>
  </sheetData>
  <mergeCells count="16">
    <mergeCell ref="B2:H2"/>
    <mergeCell ref="B4:H5"/>
    <mergeCell ref="B7:H7"/>
    <mergeCell ref="B8:H9"/>
    <mergeCell ref="B11:H11"/>
    <mergeCell ref="B12:H13"/>
    <mergeCell ref="B15:H15"/>
    <mergeCell ref="B16:H17"/>
    <mergeCell ref="B19:H19"/>
    <mergeCell ref="B20:H21"/>
    <mergeCell ref="B23:H23"/>
    <mergeCell ref="B24:H25"/>
    <mergeCell ref="B27:H27"/>
    <mergeCell ref="B28:H29"/>
    <mergeCell ref="B31:H33"/>
    <mergeCell ref="B35:H37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3E38"/>
    <pageSetUpPr fitToPage="1"/>
  </sheetPr>
  <dimension ref="A1:S2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8.7109375" style="6" customWidth="1"/>
    <col min="2" max="2" width="20.7109375" style="6" customWidth="1"/>
    <col min="3" max="3" width="23.7109375" style="6" customWidth="1"/>
    <col min="4" max="4" width="24.7109375" style="6" customWidth="1"/>
    <col min="5" max="5" width="31.7109375" style="6" customWidth="1"/>
    <col min="6" max="6" width="32.7109375" style="6" customWidth="1"/>
    <col min="7" max="7" width="18.7109375" style="6" customWidth="1"/>
    <col min="8" max="8" width="25.7109375" style="6" customWidth="1"/>
    <col min="9" max="9" width="42.7109375" style="6" customWidth="1"/>
    <col min="10" max="11" width="17.7109375" style="7" customWidth="1"/>
    <col min="12" max="12" width="42.7109375" style="6" customWidth="1"/>
    <col min="13" max="13" width="23.7109375" style="6" customWidth="1"/>
    <col min="14" max="14" width="24.7109375" style="8" customWidth="1"/>
    <col min="15" max="15" width="25.7109375" style="8" customWidth="1"/>
    <col min="16" max="16" width="19.7109375" style="7" customWidth="1"/>
    <col min="17" max="17" width="22.7109375" style="6" customWidth="1"/>
    <col min="18" max="18" width="45.7109375" style="6" customWidth="1"/>
    <col min="19" max="19" width="22.7109375" style="9" customWidth="1"/>
  </cols>
  <sheetData>
    <row r="1" spans="1:19" ht="45" customHeight="1">
      <c r="A1" s="1" t="s">
        <v>16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2" customHeight="1">
      <c r="A2" s="2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44" customHeight="1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7" t="s">
        <v>27</v>
      </c>
      <c r="K4" s="7" t="s">
        <v>28</v>
      </c>
      <c r="L4" s="6" t="s">
        <v>29</v>
      </c>
      <c r="M4" s="6" t="s">
        <v>30</v>
      </c>
      <c r="N4" s="8" t="s">
        <v>31</v>
      </c>
      <c r="O4" s="8" t="s">
        <v>32</v>
      </c>
      <c r="P4" s="7" t="s">
        <v>33</v>
      </c>
      <c r="Q4" s="6" t="s">
        <v>34</v>
      </c>
      <c r="R4" s="6" t="s">
        <v>35</v>
      </c>
      <c r="S4" s="9" t="s">
        <v>36</v>
      </c>
    </row>
    <row r="5" spans="1:19" ht="28" customHeight="1">
      <c r="A5" s="6"/>
      <c r="B5" s="6"/>
      <c r="C5" s="6"/>
      <c r="D5" s="6"/>
      <c r="E5" s="6"/>
      <c r="F5" s="6"/>
      <c r="G5" s="6"/>
      <c r="H5" s="6"/>
      <c r="I5" s="6"/>
      <c r="J5" s="7"/>
      <c r="K5" s="7"/>
      <c r="L5" s="6"/>
      <c r="M5" s="6"/>
      <c r="N5" s="8"/>
      <c r="O5" s="8"/>
      <c r="P5" s="7"/>
      <c r="Q5" s="6"/>
      <c r="R5" s="6"/>
      <c r="S5" s="9">
        <f>IF(A5="","",IF(M5="Não contatar","Não contatar",IF(OR(H5="Fechado",H5="Perdido"),"Encerrado",IF(K5="","Sem data",IF(K5&lt;TODAY(),"Atrasado",IF(K5=TODAY(),"Hoje","Agendado")))))))</f>
        <v/>
      </c>
    </row>
    <row r="6" spans="1:19" ht="28" customHeight="1">
      <c r="A6" s="6"/>
      <c r="B6" s="6"/>
      <c r="C6" s="6"/>
      <c r="D6" s="6"/>
      <c r="E6" s="6"/>
      <c r="F6" s="6"/>
      <c r="G6" s="6"/>
      <c r="H6" s="6"/>
      <c r="I6" s="6"/>
      <c r="J6" s="7"/>
      <c r="K6" s="7"/>
      <c r="L6" s="6"/>
      <c r="M6" s="6"/>
      <c r="N6" s="8"/>
      <c r="O6" s="8"/>
      <c r="P6" s="7"/>
      <c r="Q6" s="6"/>
      <c r="R6" s="6"/>
      <c r="S6" s="9">
        <f>IF(A6="","",IF(M6="Não contatar","Não contatar",IF(OR(H6="Fechado",H6="Perdido"),"Encerrado",IF(K6="","Sem data",IF(K6&lt;TODAY(),"Atrasado",IF(K6=TODAY(),"Hoje","Agendado")))))))</f>
        <v/>
      </c>
    </row>
    <row r="7" spans="1:19" ht="28" customHeight="1">
      <c r="A7" s="6"/>
      <c r="B7" s="6"/>
      <c r="C7" s="6"/>
      <c r="D7" s="6"/>
      <c r="E7" s="6"/>
      <c r="F7" s="6"/>
      <c r="G7" s="6"/>
      <c r="H7" s="6"/>
      <c r="I7" s="6"/>
      <c r="J7" s="7"/>
      <c r="K7" s="7"/>
      <c r="L7" s="6"/>
      <c r="M7" s="6"/>
      <c r="N7" s="8"/>
      <c r="O7" s="8"/>
      <c r="P7" s="7"/>
      <c r="Q7" s="6"/>
      <c r="R7" s="6"/>
      <c r="S7" s="9">
        <f>IF(A7="","",IF(M7="Não contatar","Não contatar",IF(OR(H7="Fechado",H7="Perdido"),"Encerrado",IF(K7="","Sem data",IF(K7&lt;TODAY(),"Atrasado",IF(K7=TODAY(),"Hoje","Agendado")))))))</f>
        <v/>
      </c>
    </row>
    <row r="8" spans="1:19" ht="28" customHeight="1">
      <c r="A8" s="6"/>
      <c r="B8" s="6"/>
      <c r="C8" s="6"/>
      <c r="D8" s="6"/>
      <c r="E8" s="6"/>
      <c r="F8" s="6"/>
      <c r="G8" s="6"/>
      <c r="H8" s="6"/>
      <c r="I8" s="6"/>
      <c r="J8" s="7"/>
      <c r="K8" s="7"/>
      <c r="L8" s="6"/>
      <c r="M8" s="6"/>
      <c r="N8" s="8"/>
      <c r="O8" s="8"/>
      <c r="P8" s="7"/>
      <c r="Q8" s="6"/>
      <c r="R8" s="6"/>
      <c r="S8" s="9">
        <f>IF(A8="","",IF(M8="Não contatar","Não contatar",IF(OR(H8="Fechado",H8="Perdido"),"Encerrado",IF(K8="","Sem data",IF(K8&lt;TODAY(),"Atrasado",IF(K8=TODAY(),"Hoje","Agendado")))))))</f>
        <v/>
      </c>
    </row>
    <row r="9" spans="1:19" ht="28" customHeight="1">
      <c r="A9" s="6"/>
      <c r="B9" s="6"/>
      <c r="C9" s="6"/>
      <c r="D9" s="6"/>
      <c r="E9" s="6"/>
      <c r="F9" s="6"/>
      <c r="G9" s="6"/>
      <c r="H9" s="6"/>
      <c r="I9" s="6"/>
      <c r="J9" s="7"/>
      <c r="K9" s="7"/>
      <c r="L9" s="6"/>
      <c r="M9" s="6"/>
      <c r="N9" s="8"/>
      <c r="O9" s="8"/>
      <c r="P9" s="7"/>
      <c r="Q9" s="6"/>
      <c r="R9" s="6"/>
      <c r="S9" s="9">
        <f>IF(A9="","",IF(M9="Não contatar","Não contatar",IF(OR(H9="Fechado",H9="Perdido"),"Encerrado",IF(K9="","Sem data",IF(K9&lt;TODAY(),"Atrasado",IF(K9=TODAY(),"Hoje","Agendado")))))))</f>
        <v/>
      </c>
    </row>
    <row r="10" spans="1:19" ht="28" customHeight="1">
      <c r="A10" s="6"/>
      <c r="B10" s="6"/>
      <c r="C10" s="6"/>
      <c r="D10" s="6"/>
      <c r="E10" s="6"/>
      <c r="F10" s="6"/>
      <c r="G10" s="6"/>
      <c r="H10" s="6"/>
      <c r="I10" s="6"/>
      <c r="J10" s="7"/>
      <c r="K10" s="7"/>
      <c r="L10" s="6"/>
      <c r="M10" s="6"/>
      <c r="N10" s="8"/>
      <c r="O10" s="8"/>
      <c r="P10" s="7"/>
      <c r="Q10" s="6"/>
      <c r="R10" s="6"/>
      <c r="S10" s="9">
        <f>IF(A10="","",IF(M10="Não contatar","Não contatar",IF(OR(H10="Fechado",H10="Perdido"),"Encerrado",IF(K10="","Sem data",IF(K10&lt;TODAY(),"Atrasado",IF(K10=TODAY(),"Hoje","Agendado")))))))</f>
        <v/>
      </c>
    </row>
    <row r="11" spans="1:19" ht="28" customHeight="1">
      <c r="A11" s="6"/>
      <c r="B11" s="6"/>
      <c r="C11" s="6"/>
      <c r="D11" s="6"/>
      <c r="E11" s="6"/>
      <c r="F11" s="6"/>
      <c r="G11" s="6"/>
      <c r="H11" s="6"/>
      <c r="I11" s="6"/>
      <c r="J11" s="7"/>
      <c r="K11" s="7"/>
      <c r="L11" s="6"/>
      <c r="M11" s="6"/>
      <c r="N11" s="8"/>
      <c r="O11" s="8"/>
      <c r="P11" s="7"/>
      <c r="Q11" s="6"/>
      <c r="R11" s="6"/>
      <c r="S11" s="9">
        <f>IF(A11="","",IF(M11="Não contatar","Não contatar",IF(OR(H11="Fechado",H11="Perdido"),"Encerrado",IF(K11="","Sem data",IF(K11&lt;TODAY(),"Atrasado",IF(K11=TODAY(),"Hoje","Agendado")))))))</f>
        <v/>
      </c>
    </row>
    <row r="12" spans="1:19" ht="28" customHeight="1">
      <c r="A12" s="6"/>
      <c r="B12" s="6"/>
      <c r="C12" s="6"/>
      <c r="D12" s="6"/>
      <c r="E12" s="6"/>
      <c r="F12" s="6"/>
      <c r="G12" s="6"/>
      <c r="H12" s="6"/>
      <c r="I12" s="6"/>
      <c r="J12" s="7"/>
      <c r="K12" s="7"/>
      <c r="L12" s="6"/>
      <c r="M12" s="6"/>
      <c r="N12" s="8"/>
      <c r="O12" s="8"/>
      <c r="P12" s="7"/>
      <c r="Q12" s="6"/>
      <c r="R12" s="6"/>
      <c r="S12" s="9">
        <f>IF(A12="","",IF(M12="Não contatar","Não contatar",IF(OR(H12="Fechado",H12="Perdido"),"Encerrado",IF(K12="","Sem data",IF(K12&lt;TODAY(),"Atrasado",IF(K12=TODAY(),"Hoje","Agendado")))))))</f>
        <v/>
      </c>
    </row>
    <row r="13" spans="1:19" ht="28" customHeight="1">
      <c r="A13" s="6"/>
      <c r="B13" s="6"/>
      <c r="C13" s="6"/>
      <c r="D13" s="6"/>
      <c r="E13" s="6"/>
      <c r="F13" s="6"/>
      <c r="G13" s="6"/>
      <c r="H13" s="6"/>
      <c r="I13" s="6"/>
      <c r="J13" s="7"/>
      <c r="K13" s="7"/>
      <c r="L13" s="6"/>
      <c r="M13" s="6"/>
      <c r="N13" s="8"/>
      <c r="O13" s="8"/>
      <c r="P13" s="7"/>
      <c r="Q13" s="6"/>
      <c r="R13" s="6"/>
      <c r="S13" s="9">
        <f>IF(A13="","",IF(M13="Não contatar","Não contatar",IF(OR(H13="Fechado",H13="Perdido"),"Encerrado",IF(K13="","Sem data",IF(K13&lt;TODAY(),"Atrasado",IF(K13=TODAY(),"Hoje","Agendado")))))))</f>
        <v/>
      </c>
    </row>
    <row r="14" spans="1:19" ht="28" customHeight="1">
      <c r="A14" s="6"/>
      <c r="B14" s="6"/>
      <c r="C14" s="6"/>
      <c r="D14" s="6"/>
      <c r="E14" s="6"/>
      <c r="F14" s="6"/>
      <c r="G14" s="6"/>
      <c r="H14" s="6"/>
      <c r="I14" s="6"/>
      <c r="J14" s="7"/>
      <c r="K14" s="7"/>
      <c r="L14" s="6"/>
      <c r="M14" s="6"/>
      <c r="N14" s="8"/>
      <c r="O14" s="8"/>
      <c r="P14" s="7"/>
      <c r="Q14" s="6"/>
      <c r="R14" s="6"/>
      <c r="S14" s="9">
        <f>IF(A14="","",IF(M14="Não contatar","Não contatar",IF(OR(H14="Fechado",H14="Perdido"),"Encerrado",IF(K14="","Sem data",IF(K14&lt;TODAY(),"Atrasado",IF(K14=TODAY(),"Hoje","Agendado")))))))</f>
        <v/>
      </c>
    </row>
    <row r="15" spans="1:19" ht="28" customHeight="1">
      <c r="A15" s="6"/>
      <c r="B15" s="6"/>
      <c r="C15" s="6"/>
      <c r="D15" s="6"/>
      <c r="E15" s="6"/>
      <c r="F15" s="6"/>
      <c r="G15" s="6"/>
      <c r="H15" s="6"/>
      <c r="I15" s="6"/>
      <c r="J15" s="7"/>
      <c r="K15" s="7"/>
      <c r="L15" s="6"/>
      <c r="M15" s="6"/>
      <c r="N15" s="8"/>
      <c r="O15" s="8"/>
      <c r="P15" s="7"/>
      <c r="Q15" s="6"/>
      <c r="R15" s="6"/>
      <c r="S15" s="9">
        <f>IF(A15="","",IF(M15="Não contatar","Não contatar",IF(OR(H15="Fechado",H15="Perdido"),"Encerrado",IF(K15="","Sem data",IF(K15&lt;TODAY(),"Atrasado",IF(K15=TODAY(),"Hoje","Agendado")))))))</f>
        <v/>
      </c>
    </row>
    <row r="16" spans="1:19" ht="28" customHeight="1">
      <c r="A16" s="6"/>
      <c r="B16" s="6"/>
      <c r="C16" s="6"/>
      <c r="D16" s="6"/>
      <c r="E16" s="6"/>
      <c r="F16" s="6"/>
      <c r="G16" s="6"/>
      <c r="H16" s="6"/>
      <c r="I16" s="6"/>
      <c r="J16" s="7"/>
      <c r="K16" s="7"/>
      <c r="L16" s="6"/>
      <c r="M16" s="6"/>
      <c r="N16" s="8"/>
      <c r="O16" s="8"/>
      <c r="P16" s="7"/>
      <c r="Q16" s="6"/>
      <c r="R16" s="6"/>
      <c r="S16" s="9">
        <f>IF(A16="","",IF(M16="Não contatar","Não contatar",IF(OR(H16="Fechado",H16="Perdido"),"Encerrado",IF(K16="","Sem data",IF(K16&lt;TODAY(),"Atrasado",IF(K16=TODAY(),"Hoje","Agendado")))))))</f>
        <v/>
      </c>
    </row>
    <row r="17" spans="1:19" ht="28" customHeight="1">
      <c r="A17" s="6"/>
      <c r="B17" s="6"/>
      <c r="C17" s="6"/>
      <c r="D17" s="6"/>
      <c r="E17" s="6"/>
      <c r="F17" s="6"/>
      <c r="G17" s="6"/>
      <c r="H17" s="6"/>
      <c r="I17" s="6"/>
      <c r="J17" s="7"/>
      <c r="K17" s="7"/>
      <c r="L17" s="6"/>
      <c r="M17" s="6"/>
      <c r="N17" s="8"/>
      <c r="O17" s="8"/>
      <c r="P17" s="7"/>
      <c r="Q17" s="6"/>
      <c r="R17" s="6"/>
      <c r="S17" s="9">
        <f>IF(A17="","",IF(M17="Não contatar","Não contatar",IF(OR(H17="Fechado",H17="Perdido"),"Encerrado",IF(K17="","Sem data",IF(K17&lt;TODAY(),"Atrasado",IF(K17=TODAY(),"Hoje","Agendado")))))))</f>
        <v/>
      </c>
    </row>
    <row r="18" spans="1:19" ht="28" customHeight="1">
      <c r="A18" s="6"/>
      <c r="B18" s="6"/>
      <c r="C18" s="6"/>
      <c r="D18" s="6"/>
      <c r="E18" s="6"/>
      <c r="F18" s="6"/>
      <c r="G18" s="6"/>
      <c r="H18" s="6"/>
      <c r="I18" s="6"/>
      <c r="J18" s="7"/>
      <c r="K18" s="7"/>
      <c r="L18" s="6"/>
      <c r="M18" s="6"/>
      <c r="N18" s="8"/>
      <c r="O18" s="8"/>
      <c r="P18" s="7"/>
      <c r="Q18" s="6"/>
      <c r="R18" s="6"/>
      <c r="S18" s="9">
        <f>IF(A18="","",IF(M18="Não contatar","Não contatar",IF(OR(H18="Fechado",H18="Perdido"),"Encerrado",IF(K18="","Sem data",IF(K18&lt;TODAY(),"Atrasado",IF(K18=TODAY(),"Hoje","Agendado")))))))</f>
        <v/>
      </c>
    </row>
    <row r="19" spans="1:19" ht="28" customHeight="1">
      <c r="A19" s="6"/>
      <c r="B19" s="6"/>
      <c r="C19" s="6"/>
      <c r="D19" s="6"/>
      <c r="E19" s="6"/>
      <c r="F19" s="6"/>
      <c r="G19" s="6"/>
      <c r="H19" s="6"/>
      <c r="I19" s="6"/>
      <c r="J19" s="7"/>
      <c r="K19" s="7"/>
      <c r="L19" s="6"/>
      <c r="M19" s="6"/>
      <c r="N19" s="8"/>
      <c r="O19" s="8"/>
      <c r="P19" s="7"/>
      <c r="Q19" s="6"/>
      <c r="R19" s="6"/>
      <c r="S19" s="9">
        <f>IF(A19="","",IF(M19="Não contatar","Não contatar",IF(OR(H19="Fechado",H19="Perdido"),"Encerrado",IF(K19="","Sem data",IF(K19&lt;TODAY(),"Atrasado",IF(K19=TODAY(),"Hoje","Agendado")))))))</f>
        <v/>
      </c>
    </row>
    <row r="20" spans="1:19" ht="28" customHeight="1">
      <c r="A20" s="6"/>
      <c r="B20" s="6"/>
      <c r="C20" s="6"/>
      <c r="D20" s="6"/>
      <c r="E20" s="6"/>
      <c r="F20" s="6"/>
      <c r="G20" s="6"/>
      <c r="H20" s="6"/>
      <c r="I20" s="6"/>
      <c r="J20" s="7"/>
      <c r="K20" s="7"/>
      <c r="L20" s="6"/>
      <c r="M20" s="6"/>
      <c r="N20" s="8"/>
      <c r="O20" s="8"/>
      <c r="P20" s="7"/>
      <c r="Q20" s="6"/>
      <c r="R20" s="6"/>
      <c r="S20" s="9">
        <f>IF(A20="","",IF(M20="Não contatar","Não contatar",IF(OR(H20="Fechado",H20="Perdido"),"Encerrado",IF(K20="","Sem data",IF(K20&lt;TODAY(),"Atrasado",IF(K20=TODAY(),"Hoje","Agendado")))))))</f>
        <v/>
      </c>
    </row>
    <row r="21" spans="1:19" ht="28" customHeight="1">
      <c r="A21" s="6"/>
      <c r="B21" s="6"/>
      <c r="C21" s="6"/>
      <c r="D21" s="6"/>
      <c r="E21" s="6"/>
      <c r="F21" s="6"/>
      <c r="G21" s="6"/>
      <c r="H21" s="6"/>
      <c r="I21" s="6"/>
      <c r="J21" s="7"/>
      <c r="K21" s="7"/>
      <c r="L21" s="6"/>
      <c r="M21" s="6"/>
      <c r="N21" s="8"/>
      <c r="O21" s="8"/>
      <c r="P21" s="7"/>
      <c r="Q21" s="6"/>
      <c r="R21" s="6"/>
      <c r="S21" s="9">
        <f>IF(A21="","",IF(M21="Não contatar","Não contatar",IF(OR(H21="Fechado",H21="Perdido"),"Encerrado",IF(K21="","Sem data",IF(K21&lt;TODAY(),"Atrasado",IF(K21=TODAY(),"Hoje","Agendado")))))))</f>
        <v/>
      </c>
    </row>
    <row r="22" spans="1:19" ht="28" customHeight="1">
      <c r="A22" s="6"/>
      <c r="B22" s="6"/>
      <c r="C22" s="6"/>
      <c r="D22" s="6"/>
      <c r="E22" s="6"/>
      <c r="F22" s="6"/>
      <c r="G22" s="6"/>
      <c r="H22" s="6"/>
      <c r="I22" s="6"/>
      <c r="J22" s="7"/>
      <c r="K22" s="7"/>
      <c r="L22" s="6"/>
      <c r="M22" s="6"/>
      <c r="N22" s="8"/>
      <c r="O22" s="8"/>
      <c r="P22" s="7"/>
      <c r="Q22" s="6"/>
      <c r="R22" s="6"/>
      <c r="S22" s="9">
        <f>IF(A22="","",IF(M22="Não contatar","Não contatar",IF(OR(H22="Fechado",H22="Perdido"),"Encerrado",IF(K22="","Sem data",IF(K22&lt;TODAY(),"Atrasado",IF(K22=TODAY(),"Hoje","Agendado")))))))</f>
        <v/>
      </c>
    </row>
    <row r="23" spans="1:19" ht="28" customHeight="1">
      <c r="A23" s="6"/>
      <c r="B23" s="6"/>
      <c r="C23" s="6"/>
      <c r="D23" s="6"/>
      <c r="E23" s="6"/>
      <c r="F23" s="6"/>
      <c r="G23" s="6"/>
      <c r="H23" s="6"/>
      <c r="I23" s="6"/>
      <c r="J23" s="7"/>
      <c r="K23" s="7"/>
      <c r="L23" s="6"/>
      <c r="M23" s="6"/>
      <c r="N23" s="8"/>
      <c r="O23" s="8"/>
      <c r="P23" s="7"/>
      <c r="Q23" s="6"/>
      <c r="R23" s="6"/>
      <c r="S23" s="9">
        <f>IF(A23="","",IF(M23="Não contatar","Não contatar",IF(OR(H23="Fechado",H23="Perdido"),"Encerrado",IF(K23="","Sem data",IF(K23&lt;TODAY(),"Atrasado",IF(K23=TODAY(),"Hoje","Agendado")))))))</f>
        <v/>
      </c>
    </row>
    <row r="24" spans="1:19" ht="28" customHeight="1">
      <c r="A24" s="6"/>
      <c r="B24" s="6"/>
      <c r="C24" s="6"/>
      <c r="D24" s="6"/>
      <c r="E24" s="6"/>
      <c r="F24" s="6"/>
      <c r="G24" s="6"/>
      <c r="H24" s="6"/>
      <c r="I24" s="6"/>
      <c r="J24" s="7"/>
      <c r="K24" s="7"/>
      <c r="L24" s="6"/>
      <c r="M24" s="6"/>
      <c r="N24" s="8"/>
      <c r="O24" s="8"/>
      <c r="P24" s="7"/>
      <c r="Q24" s="6"/>
      <c r="R24" s="6"/>
      <c r="S24" s="9">
        <f>IF(A24="","",IF(M24="Não contatar","Não contatar",IF(OR(H24="Fechado",H24="Perdido"),"Encerrado",IF(K24="","Sem data",IF(K24&lt;TODAY(),"Atrasado",IF(K24=TODAY(),"Hoje","Agendado")))))))</f>
        <v/>
      </c>
    </row>
    <row r="25" spans="1:19" ht="28" customHeight="1">
      <c r="A25" s="6"/>
      <c r="B25" s="6"/>
      <c r="C25" s="6"/>
      <c r="D25" s="6"/>
      <c r="E25" s="6"/>
      <c r="F25" s="6"/>
      <c r="G25" s="6"/>
      <c r="H25" s="6"/>
      <c r="I25" s="6"/>
      <c r="J25" s="7"/>
      <c r="K25" s="7"/>
      <c r="L25" s="6"/>
      <c r="M25" s="6"/>
      <c r="N25" s="8"/>
      <c r="O25" s="8"/>
      <c r="P25" s="7"/>
      <c r="Q25" s="6"/>
      <c r="R25" s="6"/>
      <c r="S25" s="9">
        <f>IF(A25="","",IF(M25="Não contatar","Não contatar",IF(OR(H25="Fechado",H25="Perdido"),"Encerrado",IF(K25="","Sem data",IF(K25&lt;TODAY(),"Atrasado",IF(K25=TODAY(),"Hoje","Agendado")))))))</f>
        <v/>
      </c>
    </row>
    <row r="26" spans="1:19" ht="28" customHeight="1">
      <c r="A26" s="6"/>
      <c r="B26" s="6"/>
      <c r="C26" s="6"/>
      <c r="D26" s="6"/>
      <c r="E26" s="6"/>
      <c r="F26" s="6"/>
      <c r="G26" s="6"/>
      <c r="H26" s="6"/>
      <c r="I26" s="6"/>
      <c r="J26" s="7"/>
      <c r="K26" s="7"/>
      <c r="L26" s="6"/>
      <c r="M26" s="6"/>
      <c r="N26" s="8"/>
      <c r="O26" s="8"/>
      <c r="P26" s="7"/>
      <c r="Q26" s="6"/>
      <c r="R26" s="6"/>
      <c r="S26" s="9">
        <f>IF(A26="","",IF(M26="Não contatar","Não contatar",IF(OR(H26="Fechado",H26="Perdido"),"Encerrado",IF(K26="","Sem data",IF(K26&lt;TODAY(),"Atrasado",IF(K26=TODAY(),"Hoje","Agendado")))))))</f>
        <v/>
      </c>
    </row>
    <row r="27" spans="1:19" ht="28" customHeight="1">
      <c r="A27" s="6"/>
      <c r="B27" s="6"/>
      <c r="C27" s="6"/>
      <c r="D27" s="6"/>
      <c r="E27" s="6"/>
      <c r="F27" s="6"/>
      <c r="G27" s="6"/>
      <c r="H27" s="6"/>
      <c r="I27" s="6"/>
      <c r="J27" s="7"/>
      <c r="K27" s="7"/>
      <c r="L27" s="6"/>
      <c r="M27" s="6"/>
      <c r="N27" s="8"/>
      <c r="O27" s="8"/>
      <c r="P27" s="7"/>
      <c r="Q27" s="6"/>
      <c r="R27" s="6"/>
      <c r="S27" s="9">
        <f>IF(A27="","",IF(M27="Não contatar","Não contatar",IF(OR(H27="Fechado",H27="Perdido"),"Encerrado",IF(K27="","Sem data",IF(K27&lt;TODAY(),"Atrasado",IF(K27=TODAY(),"Hoje","Agendado")))))))</f>
        <v/>
      </c>
    </row>
    <row r="28" spans="1:19" ht="28" customHeight="1">
      <c r="A28" s="6"/>
      <c r="B28" s="6"/>
      <c r="C28" s="6"/>
      <c r="D28" s="6"/>
      <c r="E28" s="6"/>
      <c r="F28" s="6"/>
      <c r="G28" s="6"/>
      <c r="H28" s="6"/>
      <c r="I28" s="6"/>
      <c r="J28" s="7"/>
      <c r="K28" s="7"/>
      <c r="L28" s="6"/>
      <c r="M28" s="6"/>
      <c r="N28" s="8"/>
      <c r="O28" s="8"/>
      <c r="P28" s="7"/>
      <c r="Q28" s="6"/>
      <c r="R28" s="6"/>
      <c r="S28" s="9">
        <f>IF(A28="","",IF(M28="Não contatar","Não contatar",IF(OR(H28="Fechado",H28="Perdido"),"Encerrado",IF(K28="","Sem data",IF(K28&lt;TODAY(),"Atrasado",IF(K28=TODAY(),"Hoje","Agendado")))))))</f>
        <v/>
      </c>
    </row>
    <row r="29" spans="1:19" ht="28" customHeight="1">
      <c r="A29" s="6"/>
      <c r="B29" s="6"/>
      <c r="C29" s="6"/>
      <c r="D29" s="6"/>
      <c r="E29" s="6"/>
      <c r="F29" s="6"/>
      <c r="G29" s="6"/>
      <c r="H29" s="6"/>
      <c r="I29" s="6"/>
      <c r="J29" s="7"/>
      <c r="K29" s="7"/>
      <c r="L29" s="6"/>
      <c r="M29" s="6"/>
      <c r="N29" s="8"/>
      <c r="O29" s="8"/>
      <c r="P29" s="7"/>
      <c r="Q29" s="6"/>
      <c r="R29" s="6"/>
      <c r="S29" s="9">
        <f>IF(A29="","",IF(M29="Não contatar","Não contatar",IF(OR(H29="Fechado",H29="Perdido"),"Encerrado",IF(K29="","Sem data",IF(K29&lt;TODAY(),"Atrasado",IF(K29=TODAY(),"Hoje","Agendado")))))))</f>
        <v/>
      </c>
    </row>
    <row r="30" spans="1:19" ht="28" customHeight="1">
      <c r="A30" s="6"/>
      <c r="B30" s="6"/>
      <c r="C30" s="6"/>
      <c r="D30" s="6"/>
      <c r="E30" s="6"/>
      <c r="F30" s="6"/>
      <c r="G30" s="6"/>
      <c r="H30" s="6"/>
      <c r="I30" s="6"/>
      <c r="J30" s="7"/>
      <c r="K30" s="7"/>
      <c r="L30" s="6"/>
      <c r="M30" s="6"/>
      <c r="N30" s="8"/>
      <c r="O30" s="8"/>
      <c r="P30" s="7"/>
      <c r="Q30" s="6"/>
      <c r="R30" s="6"/>
      <c r="S30" s="9">
        <f>IF(A30="","",IF(M30="Não contatar","Não contatar",IF(OR(H30="Fechado",H30="Perdido"),"Encerrado",IF(K30="","Sem data",IF(K30&lt;TODAY(),"Atrasado",IF(K30=TODAY(),"Hoje","Agendado")))))))</f>
        <v/>
      </c>
    </row>
    <row r="31" spans="1:19" ht="28" customHeight="1">
      <c r="A31" s="6"/>
      <c r="B31" s="6"/>
      <c r="C31" s="6"/>
      <c r="D31" s="6"/>
      <c r="E31" s="6"/>
      <c r="F31" s="6"/>
      <c r="G31" s="6"/>
      <c r="H31" s="6"/>
      <c r="I31" s="6"/>
      <c r="J31" s="7"/>
      <c r="K31" s="7"/>
      <c r="L31" s="6"/>
      <c r="M31" s="6"/>
      <c r="N31" s="8"/>
      <c r="O31" s="8"/>
      <c r="P31" s="7"/>
      <c r="Q31" s="6"/>
      <c r="R31" s="6"/>
      <c r="S31" s="9">
        <f>IF(A31="","",IF(M31="Não contatar","Não contatar",IF(OR(H31="Fechado",H31="Perdido"),"Encerrado",IF(K31="","Sem data",IF(K31&lt;TODAY(),"Atrasado",IF(K31=TODAY(),"Hoje","Agendado")))))))</f>
        <v/>
      </c>
    </row>
    <row r="32" spans="1:19" ht="28" customHeight="1">
      <c r="A32" s="6"/>
      <c r="B32" s="6"/>
      <c r="C32" s="6"/>
      <c r="D32" s="6"/>
      <c r="E32" s="6"/>
      <c r="F32" s="6"/>
      <c r="G32" s="6"/>
      <c r="H32" s="6"/>
      <c r="I32" s="6"/>
      <c r="J32" s="7"/>
      <c r="K32" s="7"/>
      <c r="L32" s="6"/>
      <c r="M32" s="6"/>
      <c r="N32" s="8"/>
      <c r="O32" s="8"/>
      <c r="P32" s="7"/>
      <c r="Q32" s="6"/>
      <c r="R32" s="6"/>
      <c r="S32" s="9">
        <f>IF(A32="","",IF(M32="Não contatar","Não contatar",IF(OR(H32="Fechado",H32="Perdido"),"Encerrado",IF(K32="","Sem data",IF(K32&lt;TODAY(),"Atrasado",IF(K32=TODAY(),"Hoje","Agendado")))))))</f>
        <v/>
      </c>
    </row>
    <row r="33" spans="1:19" ht="28" customHeight="1">
      <c r="A33" s="6"/>
      <c r="B33" s="6"/>
      <c r="C33" s="6"/>
      <c r="D33" s="6"/>
      <c r="E33" s="6"/>
      <c r="F33" s="6"/>
      <c r="G33" s="6"/>
      <c r="H33" s="6"/>
      <c r="I33" s="6"/>
      <c r="J33" s="7"/>
      <c r="K33" s="7"/>
      <c r="L33" s="6"/>
      <c r="M33" s="6"/>
      <c r="N33" s="8"/>
      <c r="O33" s="8"/>
      <c r="P33" s="7"/>
      <c r="Q33" s="6"/>
      <c r="R33" s="6"/>
      <c r="S33" s="9">
        <f>IF(A33="","",IF(M33="Não contatar","Não contatar",IF(OR(H33="Fechado",H33="Perdido"),"Encerrado",IF(K33="","Sem data",IF(K33&lt;TODAY(),"Atrasado",IF(K33=TODAY(),"Hoje","Agendado")))))))</f>
        <v/>
      </c>
    </row>
    <row r="34" spans="1:19" ht="28" customHeight="1">
      <c r="A34" s="6"/>
      <c r="B34" s="6"/>
      <c r="C34" s="6"/>
      <c r="D34" s="6"/>
      <c r="E34" s="6"/>
      <c r="F34" s="6"/>
      <c r="G34" s="6"/>
      <c r="H34" s="6"/>
      <c r="I34" s="6"/>
      <c r="J34" s="7"/>
      <c r="K34" s="7"/>
      <c r="L34" s="6"/>
      <c r="M34" s="6"/>
      <c r="N34" s="8"/>
      <c r="O34" s="8"/>
      <c r="P34" s="7"/>
      <c r="Q34" s="6"/>
      <c r="R34" s="6"/>
      <c r="S34" s="9">
        <f>IF(A34="","",IF(M34="Não contatar","Não contatar",IF(OR(H34="Fechado",H34="Perdido"),"Encerrado",IF(K34="","Sem data",IF(K34&lt;TODAY(),"Atrasado",IF(K34=TODAY(),"Hoje","Agendado")))))))</f>
        <v/>
      </c>
    </row>
    <row r="35" spans="1:19" ht="28" customHeight="1">
      <c r="A35" s="6"/>
      <c r="B35" s="6"/>
      <c r="C35" s="6"/>
      <c r="D35" s="6"/>
      <c r="E35" s="6"/>
      <c r="F35" s="6"/>
      <c r="G35" s="6"/>
      <c r="H35" s="6"/>
      <c r="I35" s="6"/>
      <c r="J35" s="7"/>
      <c r="K35" s="7"/>
      <c r="L35" s="6"/>
      <c r="M35" s="6"/>
      <c r="N35" s="8"/>
      <c r="O35" s="8"/>
      <c r="P35" s="7"/>
      <c r="Q35" s="6"/>
      <c r="R35" s="6"/>
      <c r="S35" s="9">
        <f>IF(A35="","",IF(M35="Não contatar","Não contatar",IF(OR(H35="Fechado",H35="Perdido"),"Encerrado",IF(K35="","Sem data",IF(K35&lt;TODAY(),"Atrasado",IF(K35=TODAY(),"Hoje","Agendado")))))))</f>
        <v/>
      </c>
    </row>
    <row r="36" spans="1:19" ht="28" customHeight="1">
      <c r="A36" s="6"/>
      <c r="B36" s="6"/>
      <c r="C36" s="6"/>
      <c r="D36" s="6"/>
      <c r="E36" s="6"/>
      <c r="F36" s="6"/>
      <c r="G36" s="6"/>
      <c r="H36" s="6"/>
      <c r="I36" s="6"/>
      <c r="J36" s="7"/>
      <c r="K36" s="7"/>
      <c r="L36" s="6"/>
      <c r="M36" s="6"/>
      <c r="N36" s="8"/>
      <c r="O36" s="8"/>
      <c r="P36" s="7"/>
      <c r="Q36" s="6"/>
      <c r="R36" s="6"/>
      <c r="S36" s="9">
        <f>IF(A36="","",IF(M36="Não contatar","Não contatar",IF(OR(H36="Fechado",H36="Perdido"),"Encerrado",IF(K36="","Sem data",IF(K36&lt;TODAY(),"Atrasado",IF(K36=TODAY(),"Hoje","Agendado")))))))</f>
        <v/>
      </c>
    </row>
    <row r="37" spans="1:19" ht="28" customHeight="1">
      <c r="A37" s="6"/>
      <c r="B37" s="6"/>
      <c r="C37" s="6"/>
      <c r="D37" s="6"/>
      <c r="E37" s="6"/>
      <c r="F37" s="6"/>
      <c r="G37" s="6"/>
      <c r="H37" s="6"/>
      <c r="I37" s="6"/>
      <c r="J37" s="7"/>
      <c r="K37" s="7"/>
      <c r="L37" s="6"/>
      <c r="M37" s="6"/>
      <c r="N37" s="8"/>
      <c r="O37" s="8"/>
      <c r="P37" s="7"/>
      <c r="Q37" s="6"/>
      <c r="R37" s="6"/>
      <c r="S37" s="9">
        <f>IF(A37="","",IF(M37="Não contatar","Não contatar",IF(OR(H37="Fechado",H37="Perdido"),"Encerrado",IF(K37="","Sem data",IF(K37&lt;TODAY(),"Atrasado",IF(K37=TODAY(),"Hoje","Agendado")))))))</f>
        <v/>
      </c>
    </row>
    <row r="38" spans="1:19" ht="28" customHeight="1">
      <c r="A38" s="6"/>
      <c r="B38" s="6"/>
      <c r="C38" s="6"/>
      <c r="D38" s="6"/>
      <c r="E38" s="6"/>
      <c r="F38" s="6"/>
      <c r="G38" s="6"/>
      <c r="H38" s="6"/>
      <c r="I38" s="6"/>
      <c r="J38" s="7"/>
      <c r="K38" s="7"/>
      <c r="L38" s="6"/>
      <c r="M38" s="6"/>
      <c r="N38" s="8"/>
      <c r="O38" s="8"/>
      <c r="P38" s="7"/>
      <c r="Q38" s="6"/>
      <c r="R38" s="6"/>
      <c r="S38" s="9">
        <f>IF(A38="","",IF(M38="Não contatar","Não contatar",IF(OR(H38="Fechado",H38="Perdido"),"Encerrado",IF(K38="","Sem data",IF(K38&lt;TODAY(),"Atrasado",IF(K38=TODAY(),"Hoje","Agendado")))))))</f>
        <v/>
      </c>
    </row>
    <row r="39" spans="1:19" ht="28" customHeight="1">
      <c r="A39" s="6"/>
      <c r="B39" s="6"/>
      <c r="C39" s="6"/>
      <c r="D39" s="6"/>
      <c r="E39" s="6"/>
      <c r="F39" s="6"/>
      <c r="G39" s="6"/>
      <c r="H39" s="6"/>
      <c r="I39" s="6"/>
      <c r="J39" s="7"/>
      <c r="K39" s="7"/>
      <c r="L39" s="6"/>
      <c r="M39" s="6"/>
      <c r="N39" s="8"/>
      <c r="O39" s="8"/>
      <c r="P39" s="7"/>
      <c r="Q39" s="6"/>
      <c r="R39" s="6"/>
      <c r="S39" s="9">
        <f>IF(A39="","",IF(M39="Não contatar","Não contatar",IF(OR(H39="Fechado",H39="Perdido"),"Encerrado",IF(K39="","Sem data",IF(K39&lt;TODAY(),"Atrasado",IF(K39=TODAY(),"Hoje","Agendado")))))))</f>
        <v/>
      </c>
    </row>
    <row r="40" spans="1:19" ht="28" customHeight="1">
      <c r="A40" s="6"/>
      <c r="B40" s="6"/>
      <c r="C40" s="6"/>
      <c r="D40" s="6"/>
      <c r="E40" s="6"/>
      <c r="F40" s="6"/>
      <c r="G40" s="6"/>
      <c r="H40" s="6"/>
      <c r="I40" s="6"/>
      <c r="J40" s="7"/>
      <c r="K40" s="7"/>
      <c r="L40" s="6"/>
      <c r="M40" s="6"/>
      <c r="N40" s="8"/>
      <c r="O40" s="8"/>
      <c r="P40" s="7"/>
      <c r="Q40" s="6"/>
      <c r="R40" s="6"/>
      <c r="S40" s="9">
        <f>IF(A40="","",IF(M40="Não contatar","Não contatar",IF(OR(H40="Fechado",H40="Perdido"),"Encerrado",IF(K40="","Sem data",IF(K40&lt;TODAY(),"Atrasado",IF(K40=TODAY(),"Hoje","Agendado")))))))</f>
        <v/>
      </c>
    </row>
    <row r="41" spans="1:19" ht="28" customHeight="1">
      <c r="A41" s="6"/>
      <c r="B41" s="6"/>
      <c r="C41" s="6"/>
      <c r="D41" s="6"/>
      <c r="E41" s="6"/>
      <c r="F41" s="6"/>
      <c r="G41" s="6"/>
      <c r="H41" s="6"/>
      <c r="I41" s="6"/>
      <c r="J41" s="7"/>
      <c r="K41" s="7"/>
      <c r="L41" s="6"/>
      <c r="M41" s="6"/>
      <c r="N41" s="8"/>
      <c r="O41" s="8"/>
      <c r="P41" s="7"/>
      <c r="Q41" s="6"/>
      <c r="R41" s="6"/>
      <c r="S41" s="9">
        <f>IF(A41="","",IF(M41="Não contatar","Não contatar",IF(OR(H41="Fechado",H41="Perdido"),"Encerrado",IF(K41="","Sem data",IF(K41&lt;TODAY(),"Atrasado",IF(K41=TODAY(),"Hoje","Agendado")))))))</f>
        <v/>
      </c>
    </row>
    <row r="42" spans="1:19" ht="28" customHeight="1">
      <c r="A42" s="6"/>
      <c r="B42" s="6"/>
      <c r="C42" s="6"/>
      <c r="D42" s="6"/>
      <c r="E42" s="6"/>
      <c r="F42" s="6"/>
      <c r="G42" s="6"/>
      <c r="H42" s="6"/>
      <c r="I42" s="6"/>
      <c r="J42" s="7"/>
      <c r="K42" s="7"/>
      <c r="L42" s="6"/>
      <c r="M42" s="6"/>
      <c r="N42" s="8"/>
      <c r="O42" s="8"/>
      <c r="P42" s="7"/>
      <c r="Q42" s="6"/>
      <c r="R42" s="6"/>
      <c r="S42" s="9">
        <f>IF(A42="","",IF(M42="Não contatar","Não contatar",IF(OR(H42="Fechado",H42="Perdido"),"Encerrado",IF(K42="","Sem data",IF(K42&lt;TODAY(),"Atrasado",IF(K42=TODAY(),"Hoje","Agendado")))))))</f>
        <v/>
      </c>
    </row>
    <row r="43" spans="1:19" ht="28" customHeight="1">
      <c r="A43" s="6"/>
      <c r="B43" s="6"/>
      <c r="C43" s="6"/>
      <c r="D43" s="6"/>
      <c r="E43" s="6"/>
      <c r="F43" s="6"/>
      <c r="G43" s="6"/>
      <c r="H43" s="6"/>
      <c r="I43" s="6"/>
      <c r="J43" s="7"/>
      <c r="K43" s="7"/>
      <c r="L43" s="6"/>
      <c r="M43" s="6"/>
      <c r="N43" s="8"/>
      <c r="O43" s="8"/>
      <c r="P43" s="7"/>
      <c r="Q43" s="6"/>
      <c r="R43" s="6"/>
      <c r="S43" s="9">
        <f>IF(A43="","",IF(M43="Não contatar","Não contatar",IF(OR(H43="Fechado",H43="Perdido"),"Encerrado",IF(K43="","Sem data",IF(K43&lt;TODAY(),"Atrasado",IF(K43=TODAY(),"Hoje","Agendado")))))))</f>
        <v/>
      </c>
    </row>
    <row r="44" spans="1:19" ht="28" customHeight="1">
      <c r="A44" s="6"/>
      <c r="B44" s="6"/>
      <c r="C44" s="6"/>
      <c r="D44" s="6"/>
      <c r="E44" s="6"/>
      <c r="F44" s="6"/>
      <c r="G44" s="6"/>
      <c r="H44" s="6"/>
      <c r="I44" s="6"/>
      <c r="J44" s="7"/>
      <c r="K44" s="7"/>
      <c r="L44" s="6"/>
      <c r="M44" s="6"/>
      <c r="N44" s="8"/>
      <c r="O44" s="8"/>
      <c r="P44" s="7"/>
      <c r="Q44" s="6"/>
      <c r="R44" s="6"/>
      <c r="S44" s="9">
        <f>IF(A44="","",IF(M44="Não contatar","Não contatar",IF(OR(H44="Fechado",H44="Perdido"),"Encerrado",IF(K44="","Sem data",IF(K44&lt;TODAY(),"Atrasado",IF(K44=TODAY(),"Hoje","Agendado")))))))</f>
        <v/>
      </c>
    </row>
    <row r="45" spans="1:19" ht="28" customHeight="1">
      <c r="A45" s="6"/>
      <c r="B45" s="6"/>
      <c r="C45" s="6"/>
      <c r="D45" s="6"/>
      <c r="E45" s="6"/>
      <c r="F45" s="6"/>
      <c r="G45" s="6"/>
      <c r="H45" s="6"/>
      <c r="I45" s="6"/>
      <c r="J45" s="7"/>
      <c r="K45" s="7"/>
      <c r="L45" s="6"/>
      <c r="M45" s="6"/>
      <c r="N45" s="8"/>
      <c r="O45" s="8"/>
      <c r="P45" s="7"/>
      <c r="Q45" s="6"/>
      <c r="R45" s="6"/>
      <c r="S45" s="9">
        <f>IF(A45="","",IF(M45="Não contatar","Não contatar",IF(OR(H45="Fechado",H45="Perdido"),"Encerrado",IF(K45="","Sem data",IF(K45&lt;TODAY(),"Atrasado",IF(K45=TODAY(),"Hoje","Agendado")))))))</f>
        <v/>
      </c>
    </row>
    <row r="46" spans="1:19" ht="28" customHeight="1">
      <c r="A46" s="6"/>
      <c r="B46" s="6"/>
      <c r="C46" s="6"/>
      <c r="D46" s="6"/>
      <c r="E46" s="6"/>
      <c r="F46" s="6"/>
      <c r="G46" s="6"/>
      <c r="H46" s="6"/>
      <c r="I46" s="6"/>
      <c r="J46" s="7"/>
      <c r="K46" s="7"/>
      <c r="L46" s="6"/>
      <c r="M46" s="6"/>
      <c r="N46" s="8"/>
      <c r="O46" s="8"/>
      <c r="P46" s="7"/>
      <c r="Q46" s="6"/>
      <c r="R46" s="6"/>
      <c r="S46" s="9">
        <f>IF(A46="","",IF(M46="Não contatar","Não contatar",IF(OR(H46="Fechado",H46="Perdido"),"Encerrado",IF(K46="","Sem data",IF(K46&lt;TODAY(),"Atrasado",IF(K46=TODAY(),"Hoje","Agendado")))))))</f>
        <v/>
      </c>
    </row>
    <row r="47" spans="1:19" ht="28" customHeight="1">
      <c r="A47" s="6"/>
      <c r="B47" s="6"/>
      <c r="C47" s="6"/>
      <c r="D47" s="6"/>
      <c r="E47" s="6"/>
      <c r="F47" s="6"/>
      <c r="G47" s="6"/>
      <c r="H47" s="6"/>
      <c r="I47" s="6"/>
      <c r="J47" s="7"/>
      <c r="K47" s="7"/>
      <c r="L47" s="6"/>
      <c r="M47" s="6"/>
      <c r="N47" s="8"/>
      <c r="O47" s="8"/>
      <c r="P47" s="7"/>
      <c r="Q47" s="6"/>
      <c r="R47" s="6"/>
      <c r="S47" s="9">
        <f>IF(A47="","",IF(M47="Não contatar","Não contatar",IF(OR(H47="Fechado",H47="Perdido"),"Encerrado",IF(K47="","Sem data",IF(K47&lt;TODAY(),"Atrasado",IF(K47=TODAY(),"Hoje","Agendado")))))))</f>
        <v/>
      </c>
    </row>
    <row r="48" spans="1:19" ht="28" customHeight="1">
      <c r="A48" s="6"/>
      <c r="B48" s="6"/>
      <c r="C48" s="6"/>
      <c r="D48" s="6"/>
      <c r="E48" s="6"/>
      <c r="F48" s="6"/>
      <c r="G48" s="6"/>
      <c r="H48" s="6"/>
      <c r="I48" s="6"/>
      <c r="J48" s="7"/>
      <c r="K48" s="7"/>
      <c r="L48" s="6"/>
      <c r="M48" s="6"/>
      <c r="N48" s="8"/>
      <c r="O48" s="8"/>
      <c r="P48" s="7"/>
      <c r="Q48" s="6"/>
      <c r="R48" s="6"/>
      <c r="S48" s="9">
        <f>IF(A48="","",IF(M48="Não contatar","Não contatar",IF(OR(H48="Fechado",H48="Perdido"),"Encerrado",IF(K48="","Sem data",IF(K48&lt;TODAY(),"Atrasado",IF(K48=TODAY(),"Hoje","Agendado")))))))</f>
        <v/>
      </c>
    </row>
    <row r="49" spans="1:19" ht="28" customHeight="1">
      <c r="A49" s="6"/>
      <c r="B49" s="6"/>
      <c r="C49" s="6"/>
      <c r="D49" s="6"/>
      <c r="E49" s="6"/>
      <c r="F49" s="6"/>
      <c r="G49" s="6"/>
      <c r="H49" s="6"/>
      <c r="I49" s="6"/>
      <c r="J49" s="7"/>
      <c r="K49" s="7"/>
      <c r="L49" s="6"/>
      <c r="M49" s="6"/>
      <c r="N49" s="8"/>
      <c r="O49" s="8"/>
      <c r="P49" s="7"/>
      <c r="Q49" s="6"/>
      <c r="R49" s="6"/>
      <c r="S49" s="9">
        <f>IF(A49="","",IF(M49="Não contatar","Não contatar",IF(OR(H49="Fechado",H49="Perdido"),"Encerrado",IF(K49="","Sem data",IF(K49&lt;TODAY(),"Atrasado",IF(K49=TODAY(),"Hoje","Agendado")))))))</f>
        <v/>
      </c>
    </row>
    <row r="50" spans="1:19" ht="28" customHeight="1">
      <c r="A50" s="6"/>
      <c r="B50" s="6"/>
      <c r="C50" s="6"/>
      <c r="D50" s="6"/>
      <c r="E50" s="6"/>
      <c r="F50" s="6"/>
      <c r="G50" s="6"/>
      <c r="H50" s="6"/>
      <c r="I50" s="6"/>
      <c r="J50" s="7"/>
      <c r="K50" s="7"/>
      <c r="L50" s="6"/>
      <c r="M50" s="6"/>
      <c r="N50" s="8"/>
      <c r="O50" s="8"/>
      <c r="P50" s="7"/>
      <c r="Q50" s="6"/>
      <c r="R50" s="6"/>
      <c r="S50" s="9">
        <f>IF(A50="","",IF(M50="Não contatar","Não contatar",IF(OR(H50="Fechado",H50="Perdido"),"Encerrado",IF(K50="","Sem data",IF(K50&lt;TODAY(),"Atrasado",IF(K50=TODAY(),"Hoje","Agendado")))))))</f>
        <v/>
      </c>
    </row>
    <row r="51" spans="1:19" ht="28" customHeight="1">
      <c r="A51" s="6"/>
      <c r="B51" s="6"/>
      <c r="C51" s="6"/>
      <c r="D51" s="6"/>
      <c r="E51" s="6"/>
      <c r="F51" s="6"/>
      <c r="G51" s="6"/>
      <c r="H51" s="6"/>
      <c r="I51" s="6"/>
      <c r="J51" s="7"/>
      <c r="K51" s="7"/>
      <c r="L51" s="6"/>
      <c r="M51" s="6"/>
      <c r="N51" s="8"/>
      <c r="O51" s="8"/>
      <c r="P51" s="7"/>
      <c r="Q51" s="6"/>
      <c r="R51" s="6"/>
      <c r="S51" s="9">
        <f>IF(A51="","",IF(M51="Não contatar","Não contatar",IF(OR(H51="Fechado",H51="Perdido"),"Encerrado",IF(K51="","Sem data",IF(K51&lt;TODAY(),"Atrasado",IF(K51=TODAY(),"Hoje","Agendado")))))))</f>
        <v/>
      </c>
    </row>
    <row r="52" spans="1:19" ht="28" customHeight="1">
      <c r="A52" s="6"/>
      <c r="B52" s="6"/>
      <c r="C52" s="6"/>
      <c r="D52" s="6"/>
      <c r="E52" s="6"/>
      <c r="F52" s="6"/>
      <c r="G52" s="6"/>
      <c r="H52" s="6"/>
      <c r="I52" s="6"/>
      <c r="J52" s="7"/>
      <c r="K52" s="7"/>
      <c r="L52" s="6"/>
      <c r="M52" s="6"/>
      <c r="N52" s="8"/>
      <c r="O52" s="8"/>
      <c r="P52" s="7"/>
      <c r="Q52" s="6"/>
      <c r="R52" s="6"/>
      <c r="S52" s="9">
        <f>IF(A52="","",IF(M52="Não contatar","Não contatar",IF(OR(H52="Fechado",H52="Perdido"),"Encerrado",IF(K52="","Sem data",IF(K52&lt;TODAY(),"Atrasado",IF(K52=TODAY(),"Hoje","Agendado")))))))</f>
        <v/>
      </c>
    </row>
    <row r="53" spans="1:19" ht="28" customHeight="1">
      <c r="A53" s="6"/>
      <c r="B53" s="6"/>
      <c r="C53" s="6"/>
      <c r="D53" s="6"/>
      <c r="E53" s="6"/>
      <c r="F53" s="6"/>
      <c r="G53" s="6"/>
      <c r="H53" s="6"/>
      <c r="I53" s="6"/>
      <c r="J53" s="7"/>
      <c r="K53" s="7"/>
      <c r="L53" s="6"/>
      <c r="M53" s="6"/>
      <c r="N53" s="8"/>
      <c r="O53" s="8"/>
      <c r="P53" s="7"/>
      <c r="Q53" s="6"/>
      <c r="R53" s="6"/>
      <c r="S53" s="9">
        <f>IF(A53="","",IF(M53="Não contatar","Não contatar",IF(OR(H53="Fechado",H53="Perdido"),"Encerrado",IF(K53="","Sem data",IF(K53&lt;TODAY(),"Atrasado",IF(K53=TODAY(),"Hoje","Agendado")))))))</f>
        <v/>
      </c>
    </row>
    <row r="54" spans="1:19" ht="28" customHeight="1">
      <c r="A54" s="6"/>
      <c r="B54" s="6"/>
      <c r="C54" s="6"/>
      <c r="D54" s="6"/>
      <c r="E54" s="6"/>
      <c r="F54" s="6"/>
      <c r="G54" s="6"/>
      <c r="H54" s="6"/>
      <c r="I54" s="6"/>
      <c r="J54" s="7"/>
      <c r="K54" s="7"/>
      <c r="L54" s="6"/>
      <c r="M54" s="6"/>
      <c r="N54" s="8"/>
      <c r="O54" s="8"/>
      <c r="P54" s="7"/>
      <c r="Q54" s="6"/>
      <c r="R54" s="6"/>
      <c r="S54" s="9">
        <f>IF(A54="","",IF(M54="Não contatar","Não contatar",IF(OR(H54="Fechado",H54="Perdido"),"Encerrado",IF(K54="","Sem data",IF(K54&lt;TODAY(),"Atrasado",IF(K54=TODAY(),"Hoje","Agendado")))))))</f>
        <v/>
      </c>
    </row>
    <row r="55" spans="1:19" ht="28" customHeight="1">
      <c r="A55" s="6"/>
      <c r="B55" s="6"/>
      <c r="C55" s="6"/>
      <c r="D55" s="6"/>
      <c r="E55" s="6"/>
      <c r="F55" s="6"/>
      <c r="G55" s="6"/>
      <c r="H55" s="6"/>
      <c r="I55" s="6"/>
      <c r="J55" s="7"/>
      <c r="K55" s="7"/>
      <c r="L55" s="6"/>
      <c r="M55" s="6"/>
      <c r="N55" s="8"/>
      <c r="O55" s="8"/>
      <c r="P55" s="7"/>
      <c r="Q55" s="6"/>
      <c r="R55" s="6"/>
      <c r="S55" s="9">
        <f>IF(A55="","",IF(M55="Não contatar","Não contatar",IF(OR(H55="Fechado",H55="Perdido"),"Encerrado",IF(K55="","Sem data",IF(K55&lt;TODAY(),"Atrasado",IF(K55=TODAY(),"Hoje","Agendado")))))))</f>
        <v/>
      </c>
    </row>
    <row r="56" spans="1:19" ht="28" customHeight="1">
      <c r="A56" s="6"/>
      <c r="B56" s="6"/>
      <c r="C56" s="6"/>
      <c r="D56" s="6"/>
      <c r="E56" s="6"/>
      <c r="F56" s="6"/>
      <c r="G56" s="6"/>
      <c r="H56" s="6"/>
      <c r="I56" s="6"/>
      <c r="J56" s="7"/>
      <c r="K56" s="7"/>
      <c r="L56" s="6"/>
      <c r="M56" s="6"/>
      <c r="N56" s="8"/>
      <c r="O56" s="8"/>
      <c r="P56" s="7"/>
      <c r="Q56" s="6"/>
      <c r="R56" s="6"/>
      <c r="S56" s="9">
        <f>IF(A56="","",IF(M56="Não contatar","Não contatar",IF(OR(H56="Fechado",H56="Perdido"),"Encerrado",IF(K56="","Sem data",IF(K56&lt;TODAY(),"Atrasado",IF(K56=TODAY(),"Hoje","Agendado")))))))</f>
        <v/>
      </c>
    </row>
    <row r="57" spans="1:19" ht="28" customHeight="1">
      <c r="A57" s="6"/>
      <c r="B57" s="6"/>
      <c r="C57" s="6"/>
      <c r="D57" s="6"/>
      <c r="E57" s="6"/>
      <c r="F57" s="6"/>
      <c r="G57" s="6"/>
      <c r="H57" s="6"/>
      <c r="I57" s="6"/>
      <c r="J57" s="7"/>
      <c r="K57" s="7"/>
      <c r="L57" s="6"/>
      <c r="M57" s="6"/>
      <c r="N57" s="8"/>
      <c r="O57" s="8"/>
      <c r="P57" s="7"/>
      <c r="Q57" s="6"/>
      <c r="R57" s="6"/>
      <c r="S57" s="9">
        <f>IF(A57="","",IF(M57="Não contatar","Não contatar",IF(OR(H57="Fechado",H57="Perdido"),"Encerrado",IF(K57="","Sem data",IF(K57&lt;TODAY(),"Atrasado",IF(K57=TODAY(),"Hoje","Agendado")))))))</f>
        <v/>
      </c>
    </row>
    <row r="58" spans="1:19" ht="28" customHeight="1">
      <c r="A58" s="6"/>
      <c r="B58" s="6"/>
      <c r="C58" s="6"/>
      <c r="D58" s="6"/>
      <c r="E58" s="6"/>
      <c r="F58" s="6"/>
      <c r="G58" s="6"/>
      <c r="H58" s="6"/>
      <c r="I58" s="6"/>
      <c r="J58" s="7"/>
      <c r="K58" s="7"/>
      <c r="L58" s="6"/>
      <c r="M58" s="6"/>
      <c r="N58" s="8"/>
      <c r="O58" s="8"/>
      <c r="P58" s="7"/>
      <c r="Q58" s="6"/>
      <c r="R58" s="6"/>
      <c r="S58" s="9">
        <f>IF(A58="","",IF(M58="Não contatar","Não contatar",IF(OR(H58="Fechado",H58="Perdido"),"Encerrado",IF(K58="","Sem data",IF(K58&lt;TODAY(),"Atrasado",IF(K58=TODAY(),"Hoje","Agendado")))))))</f>
        <v/>
      </c>
    </row>
    <row r="59" spans="1:19" ht="28" customHeight="1">
      <c r="A59" s="6"/>
      <c r="B59" s="6"/>
      <c r="C59" s="6"/>
      <c r="D59" s="6"/>
      <c r="E59" s="6"/>
      <c r="F59" s="6"/>
      <c r="G59" s="6"/>
      <c r="H59" s="6"/>
      <c r="I59" s="6"/>
      <c r="J59" s="7"/>
      <c r="K59" s="7"/>
      <c r="L59" s="6"/>
      <c r="M59" s="6"/>
      <c r="N59" s="8"/>
      <c r="O59" s="8"/>
      <c r="P59" s="7"/>
      <c r="Q59" s="6"/>
      <c r="R59" s="6"/>
      <c r="S59" s="9">
        <f>IF(A59="","",IF(M59="Não contatar","Não contatar",IF(OR(H59="Fechado",H59="Perdido"),"Encerrado",IF(K59="","Sem data",IF(K59&lt;TODAY(),"Atrasado",IF(K59=TODAY(),"Hoje","Agendado")))))))</f>
        <v/>
      </c>
    </row>
    <row r="60" spans="1:19" ht="28" customHeight="1">
      <c r="A60" s="6"/>
      <c r="B60" s="6"/>
      <c r="C60" s="6"/>
      <c r="D60" s="6"/>
      <c r="E60" s="6"/>
      <c r="F60" s="6"/>
      <c r="G60" s="6"/>
      <c r="H60" s="6"/>
      <c r="I60" s="6"/>
      <c r="J60" s="7"/>
      <c r="K60" s="7"/>
      <c r="L60" s="6"/>
      <c r="M60" s="6"/>
      <c r="N60" s="8"/>
      <c r="O60" s="8"/>
      <c r="P60" s="7"/>
      <c r="Q60" s="6"/>
      <c r="R60" s="6"/>
      <c r="S60" s="9">
        <f>IF(A60="","",IF(M60="Não contatar","Não contatar",IF(OR(H60="Fechado",H60="Perdido"),"Encerrado",IF(K60="","Sem data",IF(K60&lt;TODAY(),"Atrasado",IF(K60=TODAY(),"Hoje","Agendado")))))))</f>
        <v/>
      </c>
    </row>
    <row r="61" spans="1:19" ht="28" customHeight="1">
      <c r="A61" s="6"/>
      <c r="B61" s="6"/>
      <c r="C61" s="6"/>
      <c r="D61" s="6"/>
      <c r="E61" s="6"/>
      <c r="F61" s="6"/>
      <c r="G61" s="6"/>
      <c r="H61" s="6"/>
      <c r="I61" s="6"/>
      <c r="J61" s="7"/>
      <c r="K61" s="7"/>
      <c r="L61" s="6"/>
      <c r="M61" s="6"/>
      <c r="N61" s="8"/>
      <c r="O61" s="8"/>
      <c r="P61" s="7"/>
      <c r="Q61" s="6"/>
      <c r="R61" s="6"/>
      <c r="S61" s="9">
        <f>IF(A61="","",IF(M61="Não contatar","Não contatar",IF(OR(H61="Fechado",H61="Perdido"),"Encerrado",IF(K61="","Sem data",IF(K61&lt;TODAY(),"Atrasado",IF(K61=TODAY(),"Hoje","Agendado")))))))</f>
        <v/>
      </c>
    </row>
    <row r="62" spans="1:19" ht="28" customHeight="1">
      <c r="A62" s="6"/>
      <c r="B62" s="6"/>
      <c r="C62" s="6"/>
      <c r="D62" s="6"/>
      <c r="E62" s="6"/>
      <c r="F62" s="6"/>
      <c r="G62" s="6"/>
      <c r="H62" s="6"/>
      <c r="I62" s="6"/>
      <c r="J62" s="7"/>
      <c r="K62" s="7"/>
      <c r="L62" s="6"/>
      <c r="M62" s="6"/>
      <c r="N62" s="8"/>
      <c r="O62" s="8"/>
      <c r="P62" s="7"/>
      <c r="Q62" s="6"/>
      <c r="R62" s="6"/>
      <c r="S62" s="9">
        <f>IF(A62="","",IF(M62="Não contatar","Não contatar",IF(OR(H62="Fechado",H62="Perdido"),"Encerrado",IF(K62="","Sem data",IF(K62&lt;TODAY(),"Atrasado",IF(K62=TODAY(),"Hoje","Agendado")))))))</f>
        <v/>
      </c>
    </row>
    <row r="63" spans="1:19" ht="28" customHeight="1">
      <c r="A63" s="6"/>
      <c r="B63" s="6"/>
      <c r="C63" s="6"/>
      <c r="D63" s="6"/>
      <c r="E63" s="6"/>
      <c r="F63" s="6"/>
      <c r="G63" s="6"/>
      <c r="H63" s="6"/>
      <c r="I63" s="6"/>
      <c r="J63" s="7"/>
      <c r="K63" s="7"/>
      <c r="L63" s="6"/>
      <c r="M63" s="6"/>
      <c r="N63" s="8"/>
      <c r="O63" s="8"/>
      <c r="P63" s="7"/>
      <c r="Q63" s="6"/>
      <c r="R63" s="6"/>
      <c r="S63" s="9">
        <f>IF(A63="","",IF(M63="Não contatar","Não contatar",IF(OR(H63="Fechado",H63="Perdido"),"Encerrado",IF(K63="","Sem data",IF(K63&lt;TODAY(),"Atrasado",IF(K63=TODAY(),"Hoje","Agendado")))))))</f>
        <v/>
      </c>
    </row>
    <row r="64" spans="1:19" ht="28" customHeight="1">
      <c r="A64" s="6"/>
      <c r="B64" s="6"/>
      <c r="C64" s="6"/>
      <c r="D64" s="6"/>
      <c r="E64" s="6"/>
      <c r="F64" s="6"/>
      <c r="G64" s="6"/>
      <c r="H64" s="6"/>
      <c r="I64" s="6"/>
      <c r="J64" s="7"/>
      <c r="K64" s="7"/>
      <c r="L64" s="6"/>
      <c r="M64" s="6"/>
      <c r="N64" s="8"/>
      <c r="O64" s="8"/>
      <c r="P64" s="7"/>
      <c r="Q64" s="6"/>
      <c r="R64" s="6"/>
      <c r="S64" s="9">
        <f>IF(A64="","",IF(M64="Não contatar","Não contatar",IF(OR(H64="Fechado",H64="Perdido"),"Encerrado",IF(K64="","Sem data",IF(K64&lt;TODAY(),"Atrasado",IF(K64=TODAY(),"Hoje","Agendado")))))))</f>
        <v/>
      </c>
    </row>
    <row r="65" spans="1:19" ht="28" customHeight="1">
      <c r="A65" s="6"/>
      <c r="B65" s="6"/>
      <c r="C65" s="6"/>
      <c r="D65" s="6"/>
      <c r="E65" s="6"/>
      <c r="F65" s="6"/>
      <c r="G65" s="6"/>
      <c r="H65" s="6"/>
      <c r="I65" s="6"/>
      <c r="J65" s="7"/>
      <c r="K65" s="7"/>
      <c r="L65" s="6"/>
      <c r="M65" s="6"/>
      <c r="N65" s="8"/>
      <c r="O65" s="8"/>
      <c r="P65" s="7"/>
      <c r="Q65" s="6"/>
      <c r="R65" s="6"/>
      <c r="S65" s="9">
        <f>IF(A65="","",IF(M65="Não contatar","Não contatar",IF(OR(H65="Fechado",H65="Perdido"),"Encerrado",IF(K65="","Sem data",IF(K65&lt;TODAY(),"Atrasado",IF(K65=TODAY(),"Hoje","Agendado")))))))</f>
        <v/>
      </c>
    </row>
    <row r="66" spans="1:19" ht="28" customHeight="1">
      <c r="A66" s="6"/>
      <c r="B66" s="6"/>
      <c r="C66" s="6"/>
      <c r="D66" s="6"/>
      <c r="E66" s="6"/>
      <c r="F66" s="6"/>
      <c r="G66" s="6"/>
      <c r="H66" s="6"/>
      <c r="I66" s="6"/>
      <c r="J66" s="7"/>
      <c r="K66" s="7"/>
      <c r="L66" s="6"/>
      <c r="M66" s="6"/>
      <c r="N66" s="8"/>
      <c r="O66" s="8"/>
      <c r="P66" s="7"/>
      <c r="Q66" s="6"/>
      <c r="R66" s="6"/>
      <c r="S66" s="9">
        <f>IF(A66="","",IF(M66="Não contatar","Não contatar",IF(OR(H66="Fechado",H66="Perdido"),"Encerrado",IF(K66="","Sem data",IF(K66&lt;TODAY(),"Atrasado",IF(K66=TODAY(),"Hoje","Agendado")))))))</f>
        <v/>
      </c>
    </row>
    <row r="67" spans="1:19" ht="28" customHeight="1">
      <c r="A67" s="6"/>
      <c r="B67" s="6"/>
      <c r="C67" s="6"/>
      <c r="D67" s="6"/>
      <c r="E67" s="6"/>
      <c r="F67" s="6"/>
      <c r="G67" s="6"/>
      <c r="H67" s="6"/>
      <c r="I67" s="6"/>
      <c r="J67" s="7"/>
      <c r="K67" s="7"/>
      <c r="L67" s="6"/>
      <c r="M67" s="6"/>
      <c r="N67" s="8"/>
      <c r="O67" s="8"/>
      <c r="P67" s="7"/>
      <c r="Q67" s="6"/>
      <c r="R67" s="6"/>
      <c r="S67" s="9">
        <f>IF(A67="","",IF(M67="Não contatar","Não contatar",IF(OR(H67="Fechado",H67="Perdido"),"Encerrado",IF(K67="","Sem data",IF(K67&lt;TODAY(),"Atrasado",IF(K67=TODAY(),"Hoje","Agendado")))))))</f>
        <v/>
      </c>
    </row>
    <row r="68" spans="1:19" ht="28" customHeight="1">
      <c r="A68" s="6"/>
      <c r="B68" s="6"/>
      <c r="C68" s="6"/>
      <c r="D68" s="6"/>
      <c r="E68" s="6"/>
      <c r="F68" s="6"/>
      <c r="G68" s="6"/>
      <c r="H68" s="6"/>
      <c r="I68" s="6"/>
      <c r="J68" s="7"/>
      <c r="K68" s="7"/>
      <c r="L68" s="6"/>
      <c r="M68" s="6"/>
      <c r="N68" s="8"/>
      <c r="O68" s="8"/>
      <c r="P68" s="7"/>
      <c r="Q68" s="6"/>
      <c r="R68" s="6"/>
      <c r="S68" s="9">
        <f>IF(A68="","",IF(M68="Não contatar","Não contatar",IF(OR(H68="Fechado",H68="Perdido"),"Encerrado",IF(K68="","Sem data",IF(K68&lt;TODAY(),"Atrasado",IF(K68=TODAY(),"Hoje","Agendado")))))))</f>
        <v/>
      </c>
    </row>
    <row r="69" spans="1:19" ht="28" customHeight="1">
      <c r="A69" s="6"/>
      <c r="B69" s="6"/>
      <c r="C69" s="6"/>
      <c r="D69" s="6"/>
      <c r="E69" s="6"/>
      <c r="F69" s="6"/>
      <c r="G69" s="6"/>
      <c r="H69" s="6"/>
      <c r="I69" s="6"/>
      <c r="J69" s="7"/>
      <c r="K69" s="7"/>
      <c r="L69" s="6"/>
      <c r="M69" s="6"/>
      <c r="N69" s="8"/>
      <c r="O69" s="8"/>
      <c r="P69" s="7"/>
      <c r="Q69" s="6"/>
      <c r="R69" s="6"/>
      <c r="S69" s="9">
        <f>IF(A69="","",IF(M69="Não contatar","Não contatar",IF(OR(H69="Fechado",H69="Perdido"),"Encerrado",IF(K69="","Sem data",IF(K69&lt;TODAY(),"Atrasado",IF(K69=TODAY(),"Hoje","Agendado")))))))</f>
        <v/>
      </c>
    </row>
    <row r="70" spans="1:19" ht="28" customHeight="1">
      <c r="A70" s="6"/>
      <c r="B70" s="6"/>
      <c r="C70" s="6"/>
      <c r="D70" s="6"/>
      <c r="E70" s="6"/>
      <c r="F70" s="6"/>
      <c r="G70" s="6"/>
      <c r="H70" s="6"/>
      <c r="I70" s="6"/>
      <c r="J70" s="7"/>
      <c r="K70" s="7"/>
      <c r="L70" s="6"/>
      <c r="M70" s="6"/>
      <c r="N70" s="8"/>
      <c r="O70" s="8"/>
      <c r="P70" s="7"/>
      <c r="Q70" s="6"/>
      <c r="R70" s="6"/>
      <c r="S70" s="9">
        <f>IF(A70="","",IF(M70="Não contatar","Não contatar",IF(OR(H70="Fechado",H70="Perdido"),"Encerrado",IF(K70="","Sem data",IF(K70&lt;TODAY(),"Atrasado",IF(K70=TODAY(),"Hoje","Agendado")))))))</f>
        <v/>
      </c>
    </row>
    <row r="71" spans="1:19" ht="28" customHeight="1">
      <c r="A71" s="6"/>
      <c r="B71" s="6"/>
      <c r="C71" s="6"/>
      <c r="D71" s="6"/>
      <c r="E71" s="6"/>
      <c r="F71" s="6"/>
      <c r="G71" s="6"/>
      <c r="H71" s="6"/>
      <c r="I71" s="6"/>
      <c r="J71" s="7"/>
      <c r="K71" s="7"/>
      <c r="L71" s="6"/>
      <c r="M71" s="6"/>
      <c r="N71" s="8"/>
      <c r="O71" s="8"/>
      <c r="P71" s="7"/>
      <c r="Q71" s="6"/>
      <c r="R71" s="6"/>
      <c r="S71" s="9">
        <f>IF(A71="","",IF(M71="Não contatar","Não contatar",IF(OR(H71="Fechado",H71="Perdido"),"Encerrado",IF(K71="","Sem data",IF(K71&lt;TODAY(),"Atrasado",IF(K71=TODAY(),"Hoje","Agendado")))))))</f>
        <v/>
      </c>
    </row>
    <row r="72" spans="1:19" ht="28" customHeight="1">
      <c r="A72" s="6"/>
      <c r="B72" s="6"/>
      <c r="C72" s="6"/>
      <c r="D72" s="6"/>
      <c r="E72" s="6"/>
      <c r="F72" s="6"/>
      <c r="G72" s="6"/>
      <c r="H72" s="6"/>
      <c r="I72" s="6"/>
      <c r="J72" s="7"/>
      <c r="K72" s="7"/>
      <c r="L72" s="6"/>
      <c r="M72" s="6"/>
      <c r="N72" s="8"/>
      <c r="O72" s="8"/>
      <c r="P72" s="7"/>
      <c r="Q72" s="6"/>
      <c r="R72" s="6"/>
      <c r="S72" s="9">
        <f>IF(A72="","",IF(M72="Não contatar","Não contatar",IF(OR(H72="Fechado",H72="Perdido"),"Encerrado",IF(K72="","Sem data",IF(K72&lt;TODAY(),"Atrasado",IF(K72=TODAY(),"Hoje","Agendado")))))))</f>
        <v/>
      </c>
    </row>
    <row r="73" spans="1:19" ht="28" customHeight="1">
      <c r="A73" s="6"/>
      <c r="B73" s="6"/>
      <c r="C73" s="6"/>
      <c r="D73" s="6"/>
      <c r="E73" s="6"/>
      <c r="F73" s="6"/>
      <c r="G73" s="6"/>
      <c r="H73" s="6"/>
      <c r="I73" s="6"/>
      <c r="J73" s="7"/>
      <c r="K73" s="7"/>
      <c r="L73" s="6"/>
      <c r="M73" s="6"/>
      <c r="N73" s="8"/>
      <c r="O73" s="8"/>
      <c r="P73" s="7"/>
      <c r="Q73" s="6"/>
      <c r="R73" s="6"/>
      <c r="S73" s="9">
        <f>IF(A73="","",IF(M73="Não contatar","Não contatar",IF(OR(H73="Fechado",H73="Perdido"),"Encerrado",IF(K73="","Sem data",IF(K73&lt;TODAY(),"Atrasado",IF(K73=TODAY(),"Hoje","Agendado")))))))</f>
        <v/>
      </c>
    </row>
    <row r="74" spans="1:19" ht="28" customHeight="1">
      <c r="A74" s="6"/>
      <c r="B74" s="6"/>
      <c r="C74" s="6"/>
      <c r="D74" s="6"/>
      <c r="E74" s="6"/>
      <c r="F74" s="6"/>
      <c r="G74" s="6"/>
      <c r="H74" s="6"/>
      <c r="I74" s="6"/>
      <c r="J74" s="7"/>
      <c r="K74" s="7"/>
      <c r="L74" s="6"/>
      <c r="M74" s="6"/>
      <c r="N74" s="8"/>
      <c r="O74" s="8"/>
      <c r="P74" s="7"/>
      <c r="Q74" s="6"/>
      <c r="R74" s="6"/>
      <c r="S74" s="9">
        <f>IF(A74="","",IF(M74="Não contatar","Não contatar",IF(OR(H74="Fechado",H74="Perdido"),"Encerrado",IF(K74="","Sem data",IF(K74&lt;TODAY(),"Atrasado",IF(K74=TODAY(),"Hoje","Agendado")))))))</f>
        <v/>
      </c>
    </row>
    <row r="75" spans="1:19" ht="28" customHeight="1">
      <c r="A75" s="6"/>
      <c r="B75" s="6"/>
      <c r="C75" s="6"/>
      <c r="D75" s="6"/>
      <c r="E75" s="6"/>
      <c r="F75" s="6"/>
      <c r="G75" s="6"/>
      <c r="H75" s="6"/>
      <c r="I75" s="6"/>
      <c r="J75" s="7"/>
      <c r="K75" s="7"/>
      <c r="L75" s="6"/>
      <c r="M75" s="6"/>
      <c r="N75" s="8"/>
      <c r="O75" s="8"/>
      <c r="P75" s="7"/>
      <c r="Q75" s="6"/>
      <c r="R75" s="6"/>
      <c r="S75" s="9">
        <f>IF(A75="","",IF(M75="Não contatar","Não contatar",IF(OR(H75="Fechado",H75="Perdido"),"Encerrado",IF(K75="","Sem data",IF(K75&lt;TODAY(),"Atrasado",IF(K75=TODAY(),"Hoje","Agendado")))))))</f>
        <v/>
      </c>
    </row>
    <row r="76" spans="1:19" ht="28" customHeight="1">
      <c r="A76" s="6"/>
      <c r="B76" s="6"/>
      <c r="C76" s="6"/>
      <c r="D76" s="6"/>
      <c r="E76" s="6"/>
      <c r="F76" s="6"/>
      <c r="G76" s="6"/>
      <c r="H76" s="6"/>
      <c r="I76" s="6"/>
      <c r="J76" s="7"/>
      <c r="K76" s="7"/>
      <c r="L76" s="6"/>
      <c r="M76" s="6"/>
      <c r="N76" s="8"/>
      <c r="O76" s="8"/>
      <c r="P76" s="7"/>
      <c r="Q76" s="6"/>
      <c r="R76" s="6"/>
      <c r="S76" s="9">
        <f>IF(A76="","",IF(M76="Não contatar","Não contatar",IF(OR(H76="Fechado",H76="Perdido"),"Encerrado",IF(K76="","Sem data",IF(K76&lt;TODAY(),"Atrasado",IF(K76=TODAY(),"Hoje","Agendado")))))))</f>
        <v/>
      </c>
    </row>
    <row r="77" spans="1:19" ht="28" customHeight="1">
      <c r="A77" s="6"/>
      <c r="B77" s="6"/>
      <c r="C77" s="6"/>
      <c r="D77" s="6"/>
      <c r="E77" s="6"/>
      <c r="F77" s="6"/>
      <c r="G77" s="6"/>
      <c r="H77" s="6"/>
      <c r="I77" s="6"/>
      <c r="J77" s="7"/>
      <c r="K77" s="7"/>
      <c r="L77" s="6"/>
      <c r="M77" s="6"/>
      <c r="N77" s="8"/>
      <c r="O77" s="8"/>
      <c r="P77" s="7"/>
      <c r="Q77" s="6"/>
      <c r="R77" s="6"/>
      <c r="S77" s="9">
        <f>IF(A77="","",IF(M77="Não contatar","Não contatar",IF(OR(H77="Fechado",H77="Perdido"),"Encerrado",IF(K77="","Sem data",IF(K77&lt;TODAY(),"Atrasado",IF(K77=TODAY(),"Hoje","Agendado")))))))</f>
        <v/>
      </c>
    </row>
    <row r="78" spans="1:19" ht="28" customHeight="1">
      <c r="A78" s="6"/>
      <c r="B78" s="6"/>
      <c r="C78" s="6"/>
      <c r="D78" s="6"/>
      <c r="E78" s="6"/>
      <c r="F78" s="6"/>
      <c r="G78" s="6"/>
      <c r="H78" s="6"/>
      <c r="I78" s="6"/>
      <c r="J78" s="7"/>
      <c r="K78" s="7"/>
      <c r="L78" s="6"/>
      <c r="M78" s="6"/>
      <c r="N78" s="8"/>
      <c r="O78" s="8"/>
      <c r="P78" s="7"/>
      <c r="Q78" s="6"/>
      <c r="R78" s="6"/>
      <c r="S78" s="9">
        <f>IF(A78="","",IF(M78="Não contatar","Não contatar",IF(OR(H78="Fechado",H78="Perdido"),"Encerrado",IF(K78="","Sem data",IF(K78&lt;TODAY(),"Atrasado",IF(K78=TODAY(),"Hoje","Agendado")))))))</f>
        <v/>
      </c>
    </row>
    <row r="79" spans="1:19" ht="28" customHeight="1">
      <c r="A79" s="6"/>
      <c r="B79" s="6"/>
      <c r="C79" s="6"/>
      <c r="D79" s="6"/>
      <c r="E79" s="6"/>
      <c r="F79" s="6"/>
      <c r="G79" s="6"/>
      <c r="H79" s="6"/>
      <c r="I79" s="6"/>
      <c r="J79" s="7"/>
      <c r="K79" s="7"/>
      <c r="L79" s="6"/>
      <c r="M79" s="6"/>
      <c r="N79" s="8"/>
      <c r="O79" s="8"/>
      <c r="P79" s="7"/>
      <c r="Q79" s="6"/>
      <c r="R79" s="6"/>
      <c r="S79" s="9">
        <f>IF(A79="","",IF(M79="Não contatar","Não contatar",IF(OR(H79="Fechado",H79="Perdido"),"Encerrado",IF(K79="","Sem data",IF(K79&lt;TODAY(),"Atrasado",IF(K79=TODAY(),"Hoje","Agendado")))))))</f>
        <v/>
      </c>
    </row>
    <row r="80" spans="1:19" ht="28" customHeight="1">
      <c r="A80" s="6"/>
      <c r="B80" s="6"/>
      <c r="C80" s="6"/>
      <c r="D80" s="6"/>
      <c r="E80" s="6"/>
      <c r="F80" s="6"/>
      <c r="G80" s="6"/>
      <c r="H80" s="6"/>
      <c r="I80" s="6"/>
      <c r="J80" s="7"/>
      <c r="K80" s="7"/>
      <c r="L80" s="6"/>
      <c r="M80" s="6"/>
      <c r="N80" s="8"/>
      <c r="O80" s="8"/>
      <c r="P80" s="7"/>
      <c r="Q80" s="6"/>
      <c r="R80" s="6"/>
      <c r="S80" s="9">
        <f>IF(A80="","",IF(M80="Não contatar","Não contatar",IF(OR(H80="Fechado",H80="Perdido"),"Encerrado",IF(K80="","Sem data",IF(K80&lt;TODAY(),"Atrasado",IF(K80=TODAY(),"Hoje","Agendado")))))))</f>
        <v/>
      </c>
    </row>
    <row r="81" spans="1:19" ht="28" customHeight="1">
      <c r="A81" s="6"/>
      <c r="B81" s="6"/>
      <c r="C81" s="6"/>
      <c r="D81" s="6"/>
      <c r="E81" s="6"/>
      <c r="F81" s="6"/>
      <c r="G81" s="6"/>
      <c r="H81" s="6"/>
      <c r="I81" s="6"/>
      <c r="J81" s="7"/>
      <c r="K81" s="7"/>
      <c r="L81" s="6"/>
      <c r="M81" s="6"/>
      <c r="N81" s="8"/>
      <c r="O81" s="8"/>
      <c r="P81" s="7"/>
      <c r="Q81" s="6"/>
      <c r="R81" s="6"/>
      <c r="S81" s="9">
        <f>IF(A81="","",IF(M81="Não contatar","Não contatar",IF(OR(H81="Fechado",H81="Perdido"),"Encerrado",IF(K81="","Sem data",IF(K81&lt;TODAY(),"Atrasado",IF(K81=TODAY(),"Hoje","Agendado")))))))</f>
        <v/>
      </c>
    </row>
    <row r="82" spans="1:19" ht="28" customHeight="1">
      <c r="A82" s="6"/>
      <c r="B82" s="6"/>
      <c r="C82" s="6"/>
      <c r="D82" s="6"/>
      <c r="E82" s="6"/>
      <c r="F82" s="6"/>
      <c r="G82" s="6"/>
      <c r="H82" s="6"/>
      <c r="I82" s="6"/>
      <c r="J82" s="7"/>
      <c r="K82" s="7"/>
      <c r="L82" s="6"/>
      <c r="M82" s="6"/>
      <c r="N82" s="8"/>
      <c r="O82" s="8"/>
      <c r="P82" s="7"/>
      <c r="Q82" s="6"/>
      <c r="R82" s="6"/>
      <c r="S82" s="9">
        <f>IF(A82="","",IF(M82="Não contatar","Não contatar",IF(OR(H82="Fechado",H82="Perdido"),"Encerrado",IF(K82="","Sem data",IF(K82&lt;TODAY(),"Atrasado",IF(K82=TODAY(),"Hoje","Agendado")))))))</f>
        <v/>
      </c>
    </row>
    <row r="83" spans="1:19" ht="28" customHeight="1">
      <c r="A83" s="6"/>
      <c r="B83" s="6"/>
      <c r="C83" s="6"/>
      <c r="D83" s="6"/>
      <c r="E83" s="6"/>
      <c r="F83" s="6"/>
      <c r="G83" s="6"/>
      <c r="H83" s="6"/>
      <c r="I83" s="6"/>
      <c r="J83" s="7"/>
      <c r="K83" s="7"/>
      <c r="L83" s="6"/>
      <c r="M83" s="6"/>
      <c r="N83" s="8"/>
      <c r="O83" s="8"/>
      <c r="P83" s="7"/>
      <c r="Q83" s="6"/>
      <c r="R83" s="6"/>
      <c r="S83" s="9">
        <f>IF(A83="","",IF(M83="Não contatar","Não contatar",IF(OR(H83="Fechado",H83="Perdido"),"Encerrado",IF(K83="","Sem data",IF(K83&lt;TODAY(),"Atrasado",IF(K83=TODAY(),"Hoje","Agendado")))))))</f>
        <v/>
      </c>
    </row>
    <row r="84" spans="1:19" ht="28" customHeight="1">
      <c r="A84" s="6"/>
      <c r="B84" s="6"/>
      <c r="C84" s="6"/>
      <c r="D84" s="6"/>
      <c r="E84" s="6"/>
      <c r="F84" s="6"/>
      <c r="G84" s="6"/>
      <c r="H84" s="6"/>
      <c r="I84" s="6"/>
      <c r="J84" s="7"/>
      <c r="K84" s="7"/>
      <c r="L84" s="6"/>
      <c r="M84" s="6"/>
      <c r="N84" s="8"/>
      <c r="O84" s="8"/>
      <c r="P84" s="7"/>
      <c r="Q84" s="6"/>
      <c r="R84" s="6"/>
      <c r="S84" s="9">
        <f>IF(A84="","",IF(M84="Não contatar","Não contatar",IF(OR(H84="Fechado",H84="Perdido"),"Encerrado",IF(K84="","Sem data",IF(K84&lt;TODAY(),"Atrasado",IF(K84=TODAY(),"Hoje","Agendado")))))))</f>
        <v/>
      </c>
    </row>
    <row r="85" spans="1:19" ht="28" customHeight="1">
      <c r="A85" s="6"/>
      <c r="B85" s="6"/>
      <c r="C85" s="6"/>
      <c r="D85" s="6"/>
      <c r="E85" s="6"/>
      <c r="F85" s="6"/>
      <c r="G85" s="6"/>
      <c r="H85" s="6"/>
      <c r="I85" s="6"/>
      <c r="J85" s="7"/>
      <c r="K85" s="7"/>
      <c r="L85" s="6"/>
      <c r="M85" s="6"/>
      <c r="N85" s="8"/>
      <c r="O85" s="8"/>
      <c r="P85" s="7"/>
      <c r="Q85" s="6"/>
      <c r="R85" s="6"/>
      <c r="S85" s="9">
        <f>IF(A85="","",IF(M85="Não contatar","Não contatar",IF(OR(H85="Fechado",H85="Perdido"),"Encerrado",IF(K85="","Sem data",IF(K85&lt;TODAY(),"Atrasado",IF(K85=TODAY(),"Hoje","Agendado")))))))</f>
        <v/>
      </c>
    </row>
    <row r="86" spans="1:19" ht="28" customHeight="1">
      <c r="A86" s="6"/>
      <c r="B86" s="6"/>
      <c r="C86" s="6"/>
      <c r="D86" s="6"/>
      <c r="E86" s="6"/>
      <c r="F86" s="6"/>
      <c r="G86" s="6"/>
      <c r="H86" s="6"/>
      <c r="I86" s="6"/>
      <c r="J86" s="7"/>
      <c r="K86" s="7"/>
      <c r="L86" s="6"/>
      <c r="M86" s="6"/>
      <c r="N86" s="8"/>
      <c r="O86" s="8"/>
      <c r="P86" s="7"/>
      <c r="Q86" s="6"/>
      <c r="R86" s="6"/>
      <c r="S86" s="9">
        <f>IF(A86="","",IF(M86="Não contatar","Não contatar",IF(OR(H86="Fechado",H86="Perdido"),"Encerrado",IF(K86="","Sem data",IF(K86&lt;TODAY(),"Atrasado",IF(K86=TODAY(),"Hoje","Agendado")))))))</f>
        <v/>
      </c>
    </row>
    <row r="87" spans="1:19" ht="28" customHeight="1">
      <c r="A87" s="6"/>
      <c r="B87" s="6"/>
      <c r="C87" s="6"/>
      <c r="D87" s="6"/>
      <c r="E87" s="6"/>
      <c r="F87" s="6"/>
      <c r="G87" s="6"/>
      <c r="H87" s="6"/>
      <c r="I87" s="6"/>
      <c r="J87" s="7"/>
      <c r="K87" s="7"/>
      <c r="L87" s="6"/>
      <c r="M87" s="6"/>
      <c r="N87" s="8"/>
      <c r="O87" s="8"/>
      <c r="P87" s="7"/>
      <c r="Q87" s="6"/>
      <c r="R87" s="6"/>
      <c r="S87" s="9">
        <f>IF(A87="","",IF(M87="Não contatar","Não contatar",IF(OR(H87="Fechado",H87="Perdido"),"Encerrado",IF(K87="","Sem data",IF(K87&lt;TODAY(),"Atrasado",IF(K87=TODAY(),"Hoje","Agendado")))))))</f>
        <v/>
      </c>
    </row>
    <row r="88" spans="1:19" ht="28" customHeight="1">
      <c r="A88" s="6"/>
      <c r="B88" s="6"/>
      <c r="C88" s="6"/>
      <c r="D88" s="6"/>
      <c r="E88" s="6"/>
      <c r="F88" s="6"/>
      <c r="G88" s="6"/>
      <c r="H88" s="6"/>
      <c r="I88" s="6"/>
      <c r="J88" s="7"/>
      <c r="K88" s="7"/>
      <c r="L88" s="6"/>
      <c r="M88" s="6"/>
      <c r="N88" s="8"/>
      <c r="O88" s="8"/>
      <c r="P88" s="7"/>
      <c r="Q88" s="6"/>
      <c r="R88" s="6"/>
      <c r="S88" s="9">
        <f>IF(A88="","",IF(M88="Não contatar","Não contatar",IF(OR(H88="Fechado",H88="Perdido"),"Encerrado",IF(K88="","Sem data",IF(K88&lt;TODAY(),"Atrasado",IF(K88=TODAY(),"Hoje","Agendado")))))))</f>
        <v/>
      </c>
    </row>
    <row r="89" spans="1:19" ht="28" customHeight="1">
      <c r="A89" s="6"/>
      <c r="B89" s="6"/>
      <c r="C89" s="6"/>
      <c r="D89" s="6"/>
      <c r="E89" s="6"/>
      <c r="F89" s="6"/>
      <c r="G89" s="6"/>
      <c r="H89" s="6"/>
      <c r="I89" s="6"/>
      <c r="J89" s="7"/>
      <c r="K89" s="7"/>
      <c r="L89" s="6"/>
      <c r="M89" s="6"/>
      <c r="N89" s="8"/>
      <c r="O89" s="8"/>
      <c r="P89" s="7"/>
      <c r="Q89" s="6"/>
      <c r="R89" s="6"/>
      <c r="S89" s="9">
        <f>IF(A89="","",IF(M89="Não contatar","Não contatar",IF(OR(H89="Fechado",H89="Perdido"),"Encerrado",IF(K89="","Sem data",IF(K89&lt;TODAY(),"Atrasado",IF(K89=TODAY(),"Hoje","Agendado")))))))</f>
        <v/>
      </c>
    </row>
    <row r="90" spans="1:19" ht="28" customHeight="1">
      <c r="A90" s="6"/>
      <c r="B90" s="6"/>
      <c r="C90" s="6"/>
      <c r="D90" s="6"/>
      <c r="E90" s="6"/>
      <c r="F90" s="6"/>
      <c r="G90" s="6"/>
      <c r="H90" s="6"/>
      <c r="I90" s="6"/>
      <c r="J90" s="7"/>
      <c r="K90" s="7"/>
      <c r="L90" s="6"/>
      <c r="M90" s="6"/>
      <c r="N90" s="8"/>
      <c r="O90" s="8"/>
      <c r="P90" s="7"/>
      <c r="Q90" s="6"/>
      <c r="R90" s="6"/>
      <c r="S90" s="9">
        <f>IF(A90="","",IF(M90="Não contatar","Não contatar",IF(OR(H90="Fechado",H90="Perdido"),"Encerrado",IF(K90="","Sem data",IF(K90&lt;TODAY(),"Atrasado",IF(K90=TODAY(),"Hoje","Agendado")))))))</f>
        <v/>
      </c>
    </row>
    <row r="91" spans="1:19" ht="28" customHeight="1">
      <c r="A91" s="6"/>
      <c r="B91" s="6"/>
      <c r="C91" s="6"/>
      <c r="D91" s="6"/>
      <c r="E91" s="6"/>
      <c r="F91" s="6"/>
      <c r="G91" s="6"/>
      <c r="H91" s="6"/>
      <c r="I91" s="6"/>
      <c r="J91" s="7"/>
      <c r="K91" s="7"/>
      <c r="L91" s="6"/>
      <c r="M91" s="6"/>
      <c r="N91" s="8"/>
      <c r="O91" s="8"/>
      <c r="P91" s="7"/>
      <c r="Q91" s="6"/>
      <c r="R91" s="6"/>
      <c r="S91" s="9">
        <f>IF(A91="","",IF(M91="Não contatar","Não contatar",IF(OR(H91="Fechado",H91="Perdido"),"Encerrado",IF(K91="","Sem data",IF(K91&lt;TODAY(),"Atrasado",IF(K91=TODAY(),"Hoje","Agendado")))))))</f>
        <v/>
      </c>
    </row>
    <row r="92" spans="1:19" ht="28" customHeight="1">
      <c r="A92" s="6"/>
      <c r="B92" s="6"/>
      <c r="C92" s="6"/>
      <c r="D92" s="6"/>
      <c r="E92" s="6"/>
      <c r="F92" s="6"/>
      <c r="G92" s="6"/>
      <c r="H92" s="6"/>
      <c r="I92" s="6"/>
      <c r="J92" s="7"/>
      <c r="K92" s="7"/>
      <c r="L92" s="6"/>
      <c r="M92" s="6"/>
      <c r="N92" s="8"/>
      <c r="O92" s="8"/>
      <c r="P92" s="7"/>
      <c r="Q92" s="6"/>
      <c r="R92" s="6"/>
      <c r="S92" s="9">
        <f>IF(A92="","",IF(M92="Não contatar","Não contatar",IF(OR(H92="Fechado",H92="Perdido"),"Encerrado",IF(K92="","Sem data",IF(K92&lt;TODAY(),"Atrasado",IF(K92=TODAY(),"Hoje","Agendado")))))))</f>
        <v/>
      </c>
    </row>
    <row r="93" spans="1:19" ht="28" customHeight="1">
      <c r="A93" s="6"/>
      <c r="B93" s="6"/>
      <c r="C93" s="6"/>
      <c r="D93" s="6"/>
      <c r="E93" s="6"/>
      <c r="F93" s="6"/>
      <c r="G93" s="6"/>
      <c r="H93" s="6"/>
      <c r="I93" s="6"/>
      <c r="J93" s="7"/>
      <c r="K93" s="7"/>
      <c r="L93" s="6"/>
      <c r="M93" s="6"/>
      <c r="N93" s="8"/>
      <c r="O93" s="8"/>
      <c r="P93" s="7"/>
      <c r="Q93" s="6"/>
      <c r="R93" s="6"/>
      <c r="S93" s="9">
        <f>IF(A93="","",IF(M93="Não contatar","Não contatar",IF(OR(H93="Fechado",H93="Perdido"),"Encerrado",IF(K93="","Sem data",IF(K93&lt;TODAY(),"Atrasado",IF(K93=TODAY(),"Hoje","Agendado")))))))</f>
        <v/>
      </c>
    </row>
    <row r="94" spans="1:19" ht="28" customHeight="1">
      <c r="A94" s="6"/>
      <c r="B94" s="6"/>
      <c r="C94" s="6"/>
      <c r="D94" s="6"/>
      <c r="E94" s="6"/>
      <c r="F94" s="6"/>
      <c r="G94" s="6"/>
      <c r="H94" s="6"/>
      <c r="I94" s="6"/>
      <c r="J94" s="7"/>
      <c r="K94" s="7"/>
      <c r="L94" s="6"/>
      <c r="M94" s="6"/>
      <c r="N94" s="8"/>
      <c r="O94" s="8"/>
      <c r="P94" s="7"/>
      <c r="Q94" s="6"/>
      <c r="R94" s="6"/>
      <c r="S94" s="9">
        <f>IF(A94="","",IF(M94="Não contatar","Não contatar",IF(OR(H94="Fechado",H94="Perdido"),"Encerrado",IF(K94="","Sem data",IF(K94&lt;TODAY(),"Atrasado",IF(K94=TODAY(),"Hoje","Agendado")))))))</f>
        <v/>
      </c>
    </row>
    <row r="95" spans="1:19" ht="28" customHeight="1">
      <c r="A95" s="6"/>
      <c r="B95" s="6"/>
      <c r="C95" s="6"/>
      <c r="D95" s="6"/>
      <c r="E95" s="6"/>
      <c r="F95" s="6"/>
      <c r="G95" s="6"/>
      <c r="H95" s="6"/>
      <c r="I95" s="6"/>
      <c r="J95" s="7"/>
      <c r="K95" s="7"/>
      <c r="L95" s="6"/>
      <c r="M95" s="6"/>
      <c r="N95" s="8"/>
      <c r="O95" s="8"/>
      <c r="P95" s="7"/>
      <c r="Q95" s="6"/>
      <c r="R95" s="6"/>
      <c r="S95" s="9">
        <f>IF(A95="","",IF(M95="Não contatar","Não contatar",IF(OR(H95="Fechado",H95="Perdido"),"Encerrado",IF(K95="","Sem data",IF(K95&lt;TODAY(),"Atrasado",IF(K95=TODAY(),"Hoje","Agendado")))))))</f>
        <v/>
      </c>
    </row>
    <row r="96" spans="1:19" ht="28" customHeight="1">
      <c r="A96" s="6"/>
      <c r="B96" s="6"/>
      <c r="C96" s="6"/>
      <c r="D96" s="6"/>
      <c r="E96" s="6"/>
      <c r="F96" s="6"/>
      <c r="G96" s="6"/>
      <c r="H96" s="6"/>
      <c r="I96" s="6"/>
      <c r="J96" s="7"/>
      <c r="K96" s="7"/>
      <c r="L96" s="6"/>
      <c r="M96" s="6"/>
      <c r="N96" s="8"/>
      <c r="O96" s="8"/>
      <c r="P96" s="7"/>
      <c r="Q96" s="6"/>
      <c r="R96" s="6"/>
      <c r="S96" s="9">
        <f>IF(A96="","",IF(M96="Não contatar","Não contatar",IF(OR(H96="Fechado",H96="Perdido"),"Encerrado",IF(K96="","Sem data",IF(K96&lt;TODAY(),"Atrasado",IF(K96=TODAY(),"Hoje","Agendado")))))))</f>
        <v/>
      </c>
    </row>
    <row r="97" spans="1:19" ht="28" customHeight="1">
      <c r="A97" s="6"/>
      <c r="B97" s="6"/>
      <c r="C97" s="6"/>
      <c r="D97" s="6"/>
      <c r="E97" s="6"/>
      <c r="F97" s="6"/>
      <c r="G97" s="6"/>
      <c r="H97" s="6"/>
      <c r="I97" s="6"/>
      <c r="J97" s="7"/>
      <c r="K97" s="7"/>
      <c r="L97" s="6"/>
      <c r="M97" s="6"/>
      <c r="N97" s="8"/>
      <c r="O97" s="8"/>
      <c r="P97" s="7"/>
      <c r="Q97" s="6"/>
      <c r="R97" s="6"/>
      <c r="S97" s="9">
        <f>IF(A97="","",IF(M97="Não contatar","Não contatar",IF(OR(H97="Fechado",H97="Perdido"),"Encerrado",IF(K97="","Sem data",IF(K97&lt;TODAY(),"Atrasado",IF(K97=TODAY(),"Hoje","Agendado")))))))</f>
        <v/>
      </c>
    </row>
    <row r="98" spans="1:19" ht="28" customHeight="1">
      <c r="A98" s="6"/>
      <c r="B98" s="6"/>
      <c r="C98" s="6"/>
      <c r="D98" s="6"/>
      <c r="E98" s="6"/>
      <c r="F98" s="6"/>
      <c r="G98" s="6"/>
      <c r="H98" s="6"/>
      <c r="I98" s="6"/>
      <c r="J98" s="7"/>
      <c r="K98" s="7"/>
      <c r="L98" s="6"/>
      <c r="M98" s="6"/>
      <c r="N98" s="8"/>
      <c r="O98" s="8"/>
      <c r="P98" s="7"/>
      <c r="Q98" s="6"/>
      <c r="R98" s="6"/>
      <c r="S98" s="9">
        <f>IF(A98="","",IF(M98="Não contatar","Não contatar",IF(OR(H98="Fechado",H98="Perdido"),"Encerrado",IF(K98="","Sem data",IF(K98&lt;TODAY(),"Atrasado",IF(K98=TODAY(),"Hoje","Agendado")))))))</f>
        <v/>
      </c>
    </row>
    <row r="99" spans="1:19" ht="28" customHeight="1">
      <c r="A99" s="6"/>
      <c r="B99" s="6"/>
      <c r="C99" s="6"/>
      <c r="D99" s="6"/>
      <c r="E99" s="6"/>
      <c r="F99" s="6"/>
      <c r="G99" s="6"/>
      <c r="H99" s="6"/>
      <c r="I99" s="6"/>
      <c r="J99" s="7"/>
      <c r="K99" s="7"/>
      <c r="L99" s="6"/>
      <c r="M99" s="6"/>
      <c r="N99" s="8"/>
      <c r="O99" s="8"/>
      <c r="P99" s="7"/>
      <c r="Q99" s="6"/>
      <c r="R99" s="6"/>
      <c r="S99" s="9">
        <f>IF(A99="","",IF(M99="Não contatar","Não contatar",IF(OR(H99="Fechado",H99="Perdido"),"Encerrado",IF(K99="","Sem data",IF(K99&lt;TODAY(),"Atrasado",IF(K99=TODAY(),"Hoje","Agendado")))))))</f>
        <v/>
      </c>
    </row>
    <row r="100" spans="1:19" ht="28" customHeight="1">
      <c r="A100" s="6"/>
      <c r="B100" s="6"/>
      <c r="C100" s="6"/>
      <c r="D100" s="6"/>
      <c r="E100" s="6"/>
      <c r="F100" s="6"/>
      <c r="G100" s="6"/>
      <c r="H100" s="6"/>
      <c r="I100" s="6"/>
      <c r="J100" s="7"/>
      <c r="K100" s="7"/>
      <c r="L100" s="6"/>
      <c r="M100" s="6"/>
      <c r="N100" s="8"/>
      <c r="O100" s="8"/>
      <c r="P100" s="7"/>
      <c r="Q100" s="6"/>
      <c r="R100" s="6"/>
      <c r="S100" s="9">
        <f>IF(A100="","",IF(M100="Não contatar","Não contatar",IF(OR(H100="Fechado",H100="Perdido"),"Encerrado",IF(K100="","Sem data",IF(K100&lt;TODAY(),"Atrasado",IF(K100=TODAY(),"Hoje","Agendado")))))))</f>
        <v/>
      </c>
    </row>
    <row r="101" spans="1:19" ht="28" customHeight="1">
      <c r="A101" s="6"/>
      <c r="B101" s="6"/>
      <c r="C101" s="6"/>
      <c r="D101" s="6"/>
      <c r="E101" s="6"/>
      <c r="F101" s="6"/>
      <c r="G101" s="6"/>
      <c r="H101" s="6"/>
      <c r="I101" s="6"/>
      <c r="J101" s="7"/>
      <c r="K101" s="7"/>
      <c r="L101" s="6"/>
      <c r="M101" s="6"/>
      <c r="N101" s="8"/>
      <c r="O101" s="8"/>
      <c r="P101" s="7"/>
      <c r="Q101" s="6"/>
      <c r="R101" s="6"/>
      <c r="S101" s="9">
        <f>IF(A101="","",IF(M101="Não contatar","Não contatar",IF(OR(H101="Fechado",H101="Perdido"),"Encerrado",IF(K101="","Sem data",IF(K101&lt;TODAY(),"Atrasado",IF(K101=TODAY(),"Hoje","Agendado")))))))</f>
        <v/>
      </c>
    </row>
    <row r="102" spans="1:19" ht="28" customHeight="1">
      <c r="A102" s="6"/>
      <c r="B102" s="6"/>
      <c r="C102" s="6"/>
      <c r="D102" s="6"/>
      <c r="E102" s="6"/>
      <c r="F102" s="6"/>
      <c r="G102" s="6"/>
      <c r="H102" s="6"/>
      <c r="I102" s="6"/>
      <c r="J102" s="7"/>
      <c r="K102" s="7"/>
      <c r="L102" s="6"/>
      <c r="M102" s="6"/>
      <c r="N102" s="8"/>
      <c r="O102" s="8"/>
      <c r="P102" s="7"/>
      <c r="Q102" s="6"/>
      <c r="R102" s="6"/>
      <c r="S102" s="9">
        <f>IF(A102="","",IF(M102="Não contatar","Não contatar",IF(OR(H102="Fechado",H102="Perdido"),"Encerrado",IF(K102="","Sem data",IF(K102&lt;TODAY(),"Atrasado",IF(K102=TODAY(),"Hoje","Agendado")))))))</f>
        <v/>
      </c>
    </row>
    <row r="103" spans="1:19" ht="28" customHeight="1">
      <c r="A103" s="6"/>
      <c r="B103" s="6"/>
      <c r="C103" s="6"/>
      <c r="D103" s="6"/>
      <c r="E103" s="6"/>
      <c r="F103" s="6"/>
      <c r="G103" s="6"/>
      <c r="H103" s="6"/>
      <c r="I103" s="6"/>
      <c r="J103" s="7"/>
      <c r="K103" s="7"/>
      <c r="L103" s="6"/>
      <c r="M103" s="6"/>
      <c r="N103" s="8"/>
      <c r="O103" s="8"/>
      <c r="P103" s="7"/>
      <c r="Q103" s="6"/>
      <c r="R103" s="6"/>
      <c r="S103" s="9">
        <f>IF(A103="","",IF(M103="Não contatar","Não contatar",IF(OR(H103="Fechado",H103="Perdido"),"Encerrado",IF(K103="","Sem data",IF(K103&lt;TODAY(),"Atrasado",IF(K103=TODAY(),"Hoje","Agendado")))))))</f>
        <v/>
      </c>
    </row>
    <row r="104" spans="1:19" ht="28" customHeight="1">
      <c r="A104" s="6"/>
      <c r="B104" s="6"/>
      <c r="C104" s="6"/>
      <c r="D104" s="6"/>
      <c r="E104" s="6"/>
      <c r="F104" s="6"/>
      <c r="G104" s="6"/>
      <c r="H104" s="6"/>
      <c r="I104" s="6"/>
      <c r="J104" s="7"/>
      <c r="K104" s="7"/>
      <c r="L104" s="6"/>
      <c r="M104" s="6"/>
      <c r="N104" s="8"/>
      <c r="O104" s="8"/>
      <c r="P104" s="7"/>
      <c r="Q104" s="6"/>
      <c r="R104" s="6"/>
      <c r="S104" s="9">
        <f>IF(A104="","",IF(M104="Não contatar","Não contatar",IF(OR(H104="Fechado",H104="Perdido"),"Encerrado",IF(K104="","Sem data",IF(K104&lt;TODAY(),"Atrasado",IF(K104=TODAY(),"Hoje","Agendado")))))))</f>
        <v/>
      </c>
    </row>
    <row r="105" spans="1:19" ht="28" customHeight="1">
      <c r="A105" s="6"/>
      <c r="B105" s="6"/>
      <c r="C105" s="6"/>
      <c r="D105" s="6"/>
      <c r="E105" s="6"/>
      <c r="F105" s="6"/>
      <c r="G105" s="6"/>
      <c r="H105" s="6"/>
      <c r="I105" s="6"/>
      <c r="J105" s="7"/>
      <c r="K105" s="7"/>
      <c r="L105" s="6"/>
      <c r="M105" s="6"/>
      <c r="N105" s="8"/>
      <c r="O105" s="8"/>
      <c r="P105" s="7"/>
      <c r="Q105" s="6"/>
      <c r="R105" s="6"/>
      <c r="S105" s="9">
        <f>IF(A105="","",IF(M105="Não contatar","Não contatar",IF(OR(H105="Fechado",H105="Perdido"),"Encerrado",IF(K105="","Sem data",IF(K105&lt;TODAY(),"Atrasado",IF(K105=TODAY(),"Hoje","Agendado")))))))</f>
        <v/>
      </c>
    </row>
    <row r="106" spans="1:19" ht="28" customHeight="1">
      <c r="A106" s="6"/>
      <c r="B106" s="6"/>
      <c r="C106" s="6"/>
      <c r="D106" s="6"/>
      <c r="E106" s="6"/>
      <c r="F106" s="6"/>
      <c r="G106" s="6"/>
      <c r="H106" s="6"/>
      <c r="I106" s="6"/>
      <c r="J106" s="7"/>
      <c r="K106" s="7"/>
      <c r="L106" s="6"/>
      <c r="M106" s="6"/>
      <c r="N106" s="8"/>
      <c r="O106" s="8"/>
      <c r="P106" s="7"/>
      <c r="Q106" s="6"/>
      <c r="R106" s="6"/>
      <c r="S106" s="9">
        <f>IF(A106="","",IF(M106="Não contatar","Não contatar",IF(OR(H106="Fechado",H106="Perdido"),"Encerrado",IF(K106="","Sem data",IF(K106&lt;TODAY(),"Atrasado",IF(K106=TODAY(),"Hoje","Agendado")))))))</f>
        <v/>
      </c>
    </row>
    <row r="107" spans="1:19" ht="28" customHeight="1">
      <c r="A107" s="6"/>
      <c r="B107" s="6"/>
      <c r="C107" s="6"/>
      <c r="D107" s="6"/>
      <c r="E107" s="6"/>
      <c r="F107" s="6"/>
      <c r="G107" s="6"/>
      <c r="H107" s="6"/>
      <c r="I107" s="6"/>
      <c r="J107" s="7"/>
      <c r="K107" s="7"/>
      <c r="L107" s="6"/>
      <c r="M107" s="6"/>
      <c r="N107" s="8"/>
      <c r="O107" s="8"/>
      <c r="P107" s="7"/>
      <c r="Q107" s="6"/>
      <c r="R107" s="6"/>
      <c r="S107" s="9">
        <f>IF(A107="","",IF(M107="Não contatar","Não contatar",IF(OR(H107="Fechado",H107="Perdido"),"Encerrado",IF(K107="","Sem data",IF(K107&lt;TODAY(),"Atrasado",IF(K107=TODAY(),"Hoje","Agendado")))))))</f>
        <v/>
      </c>
    </row>
    <row r="108" spans="1:19" ht="28" customHeight="1">
      <c r="A108" s="6"/>
      <c r="B108" s="6"/>
      <c r="C108" s="6"/>
      <c r="D108" s="6"/>
      <c r="E108" s="6"/>
      <c r="F108" s="6"/>
      <c r="G108" s="6"/>
      <c r="H108" s="6"/>
      <c r="I108" s="6"/>
      <c r="J108" s="7"/>
      <c r="K108" s="7"/>
      <c r="L108" s="6"/>
      <c r="M108" s="6"/>
      <c r="N108" s="8"/>
      <c r="O108" s="8"/>
      <c r="P108" s="7"/>
      <c r="Q108" s="6"/>
      <c r="R108" s="6"/>
      <c r="S108" s="9">
        <f>IF(A108="","",IF(M108="Não contatar","Não contatar",IF(OR(H108="Fechado",H108="Perdido"),"Encerrado",IF(K108="","Sem data",IF(K108&lt;TODAY(),"Atrasado",IF(K108=TODAY(),"Hoje","Agendado")))))))</f>
        <v/>
      </c>
    </row>
    <row r="109" spans="1:19" ht="28" customHeight="1">
      <c r="A109" s="6"/>
      <c r="B109" s="6"/>
      <c r="C109" s="6"/>
      <c r="D109" s="6"/>
      <c r="E109" s="6"/>
      <c r="F109" s="6"/>
      <c r="G109" s="6"/>
      <c r="H109" s="6"/>
      <c r="I109" s="6"/>
      <c r="J109" s="7"/>
      <c r="K109" s="7"/>
      <c r="L109" s="6"/>
      <c r="M109" s="6"/>
      <c r="N109" s="8"/>
      <c r="O109" s="8"/>
      <c r="P109" s="7"/>
      <c r="Q109" s="6"/>
      <c r="R109" s="6"/>
      <c r="S109" s="9">
        <f>IF(A109="","",IF(M109="Não contatar","Não contatar",IF(OR(H109="Fechado",H109="Perdido"),"Encerrado",IF(K109="","Sem data",IF(K109&lt;TODAY(),"Atrasado",IF(K109=TODAY(),"Hoje","Agendado")))))))</f>
        <v/>
      </c>
    </row>
    <row r="110" spans="1:19" ht="28" customHeight="1">
      <c r="A110" s="6"/>
      <c r="B110" s="6"/>
      <c r="C110" s="6"/>
      <c r="D110" s="6"/>
      <c r="E110" s="6"/>
      <c r="F110" s="6"/>
      <c r="G110" s="6"/>
      <c r="H110" s="6"/>
      <c r="I110" s="6"/>
      <c r="J110" s="7"/>
      <c r="K110" s="7"/>
      <c r="L110" s="6"/>
      <c r="M110" s="6"/>
      <c r="N110" s="8"/>
      <c r="O110" s="8"/>
      <c r="P110" s="7"/>
      <c r="Q110" s="6"/>
      <c r="R110" s="6"/>
      <c r="S110" s="9">
        <f>IF(A110="","",IF(M110="Não contatar","Não contatar",IF(OR(H110="Fechado",H110="Perdido"),"Encerrado",IF(K110="","Sem data",IF(K110&lt;TODAY(),"Atrasado",IF(K110=TODAY(),"Hoje","Agendado")))))))</f>
        <v/>
      </c>
    </row>
    <row r="111" spans="1:19" ht="28" customHeight="1">
      <c r="A111" s="6"/>
      <c r="B111" s="6"/>
      <c r="C111" s="6"/>
      <c r="D111" s="6"/>
      <c r="E111" s="6"/>
      <c r="F111" s="6"/>
      <c r="G111" s="6"/>
      <c r="H111" s="6"/>
      <c r="I111" s="6"/>
      <c r="J111" s="7"/>
      <c r="K111" s="7"/>
      <c r="L111" s="6"/>
      <c r="M111" s="6"/>
      <c r="N111" s="8"/>
      <c r="O111" s="8"/>
      <c r="P111" s="7"/>
      <c r="Q111" s="6"/>
      <c r="R111" s="6"/>
      <c r="S111" s="9">
        <f>IF(A111="","",IF(M111="Não contatar","Não contatar",IF(OR(H111="Fechado",H111="Perdido"),"Encerrado",IF(K111="","Sem data",IF(K111&lt;TODAY(),"Atrasado",IF(K111=TODAY(),"Hoje","Agendado")))))))</f>
        <v/>
      </c>
    </row>
    <row r="112" spans="1:19" ht="28" customHeight="1">
      <c r="A112" s="6"/>
      <c r="B112" s="6"/>
      <c r="C112" s="6"/>
      <c r="D112" s="6"/>
      <c r="E112" s="6"/>
      <c r="F112" s="6"/>
      <c r="G112" s="6"/>
      <c r="H112" s="6"/>
      <c r="I112" s="6"/>
      <c r="J112" s="7"/>
      <c r="K112" s="7"/>
      <c r="L112" s="6"/>
      <c r="M112" s="6"/>
      <c r="N112" s="8"/>
      <c r="O112" s="8"/>
      <c r="P112" s="7"/>
      <c r="Q112" s="6"/>
      <c r="R112" s="6"/>
      <c r="S112" s="9">
        <f>IF(A112="","",IF(M112="Não contatar","Não contatar",IF(OR(H112="Fechado",H112="Perdido"),"Encerrado",IF(K112="","Sem data",IF(K112&lt;TODAY(),"Atrasado",IF(K112=TODAY(),"Hoje","Agendado")))))))</f>
        <v/>
      </c>
    </row>
    <row r="113" spans="1:19" ht="28" customHeight="1">
      <c r="A113" s="6"/>
      <c r="B113" s="6"/>
      <c r="C113" s="6"/>
      <c r="D113" s="6"/>
      <c r="E113" s="6"/>
      <c r="F113" s="6"/>
      <c r="G113" s="6"/>
      <c r="H113" s="6"/>
      <c r="I113" s="6"/>
      <c r="J113" s="7"/>
      <c r="K113" s="7"/>
      <c r="L113" s="6"/>
      <c r="M113" s="6"/>
      <c r="N113" s="8"/>
      <c r="O113" s="8"/>
      <c r="P113" s="7"/>
      <c r="Q113" s="6"/>
      <c r="R113" s="6"/>
      <c r="S113" s="9">
        <f>IF(A113="","",IF(M113="Não contatar","Não contatar",IF(OR(H113="Fechado",H113="Perdido"),"Encerrado",IF(K113="","Sem data",IF(K113&lt;TODAY(),"Atrasado",IF(K113=TODAY(),"Hoje","Agendado")))))))</f>
        <v/>
      </c>
    </row>
    <row r="114" spans="1:19" ht="28" customHeight="1">
      <c r="A114" s="6"/>
      <c r="B114" s="6"/>
      <c r="C114" s="6"/>
      <c r="D114" s="6"/>
      <c r="E114" s="6"/>
      <c r="F114" s="6"/>
      <c r="G114" s="6"/>
      <c r="H114" s="6"/>
      <c r="I114" s="6"/>
      <c r="J114" s="7"/>
      <c r="K114" s="7"/>
      <c r="L114" s="6"/>
      <c r="M114" s="6"/>
      <c r="N114" s="8"/>
      <c r="O114" s="8"/>
      <c r="P114" s="7"/>
      <c r="Q114" s="6"/>
      <c r="R114" s="6"/>
      <c r="S114" s="9">
        <f>IF(A114="","",IF(M114="Não contatar","Não contatar",IF(OR(H114="Fechado",H114="Perdido"),"Encerrado",IF(K114="","Sem data",IF(K114&lt;TODAY(),"Atrasado",IF(K114=TODAY(),"Hoje","Agendado")))))))</f>
        <v/>
      </c>
    </row>
    <row r="115" spans="1:19" ht="28" customHeight="1">
      <c r="A115" s="6"/>
      <c r="B115" s="6"/>
      <c r="C115" s="6"/>
      <c r="D115" s="6"/>
      <c r="E115" s="6"/>
      <c r="F115" s="6"/>
      <c r="G115" s="6"/>
      <c r="H115" s="6"/>
      <c r="I115" s="6"/>
      <c r="J115" s="7"/>
      <c r="K115" s="7"/>
      <c r="L115" s="6"/>
      <c r="M115" s="6"/>
      <c r="N115" s="8"/>
      <c r="O115" s="8"/>
      <c r="P115" s="7"/>
      <c r="Q115" s="6"/>
      <c r="R115" s="6"/>
      <c r="S115" s="9">
        <f>IF(A115="","",IF(M115="Não contatar","Não contatar",IF(OR(H115="Fechado",H115="Perdido"),"Encerrado",IF(K115="","Sem data",IF(K115&lt;TODAY(),"Atrasado",IF(K115=TODAY(),"Hoje","Agendado")))))))</f>
        <v/>
      </c>
    </row>
    <row r="116" spans="1:19" ht="28" customHeight="1">
      <c r="A116" s="6"/>
      <c r="B116" s="6"/>
      <c r="C116" s="6"/>
      <c r="D116" s="6"/>
      <c r="E116" s="6"/>
      <c r="F116" s="6"/>
      <c r="G116" s="6"/>
      <c r="H116" s="6"/>
      <c r="I116" s="6"/>
      <c r="J116" s="7"/>
      <c r="K116" s="7"/>
      <c r="L116" s="6"/>
      <c r="M116" s="6"/>
      <c r="N116" s="8"/>
      <c r="O116" s="8"/>
      <c r="P116" s="7"/>
      <c r="Q116" s="6"/>
      <c r="R116" s="6"/>
      <c r="S116" s="9">
        <f>IF(A116="","",IF(M116="Não contatar","Não contatar",IF(OR(H116="Fechado",H116="Perdido"),"Encerrado",IF(K116="","Sem data",IF(K116&lt;TODAY(),"Atrasado",IF(K116=TODAY(),"Hoje","Agendado")))))))</f>
        <v/>
      </c>
    </row>
    <row r="117" spans="1:19" ht="28" customHeight="1">
      <c r="A117" s="6"/>
      <c r="B117" s="6"/>
      <c r="C117" s="6"/>
      <c r="D117" s="6"/>
      <c r="E117" s="6"/>
      <c r="F117" s="6"/>
      <c r="G117" s="6"/>
      <c r="H117" s="6"/>
      <c r="I117" s="6"/>
      <c r="J117" s="7"/>
      <c r="K117" s="7"/>
      <c r="L117" s="6"/>
      <c r="M117" s="6"/>
      <c r="N117" s="8"/>
      <c r="O117" s="8"/>
      <c r="P117" s="7"/>
      <c r="Q117" s="6"/>
      <c r="R117" s="6"/>
      <c r="S117" s="9">
        <f>IF(A117="","",IF(M117="Não contatar","Não contatar",IF(OR(H117="Fechado",H117="Perdido"),"Encerrado",IF(K117="","Sem data",IF(K117&lt;TODAY(),"Atrasado",IF(K117=TODAY(),"Hoje","Agendado")))))))</f>
        <v/>
      </c>
    </row>
    <row r="118" spans="1:19" ht="28" customHeight="1">
      <c r="A118" s="6"/>
      <c r="B118" s="6"/>
      <c r="C118" s="6"/>
      <c r="D118" s="6"/>
      <c r="E118" s="6"/>
      <c r="F118" s="6"/>
      <c r="G118" s="6"/>
      <c r="H118" s="6"/>
      <c r="I118" s="6"/>
      <c r="J118" s="7"/>
      <c r="K118" s="7"/>
      <c r="L118" s="6"/>
      <c r="M118" s="6"/>
      <c r="N118" s="8"/>
      <c r="O118" s="8"/>
      <c r="P118" s="7"/>
      <c r="Q118" s="6"/>
      <c r="R118" s="6"/>
      <c r="S118" s="9">
        <f>IF(A118="","",IF(M118="Não contatar","Não contatar",IF(OR(H118="Fechado",H118="Perdido"),"Encerrado",IF(K118="","Sem data",IF(K118&lt;TODAY(),"Atrasado",IF(K118=TODAY(),"Hoje","Agendado")))))))</f>
        <v/>
      </c>
    </row>
    <row r="119" spans="1:19" ht="28" customHeight="1">
      <c r="A119" s="6"/>
      <c r="B119" s="6"/>
      <c r="C119" s="6"/>
      <c r="D119" s="6"/>
      <c r="E119" s="6"/>
      <c r="F119" s="6"/>
      <c r="G119" s="6"/>
      <c r="H119" s="6"/>
      <c r="I119" s="6"/>
      <c r="J119" s="7"/>
      <c r="K119" s="7"/>
      <c r="L119" s="6"/>
      <c r="M119" s="6"/>
      <c r="N119" s="8"/>
      <c r="O119" s="8"/>
      <c r="P119" s="7"/>
      <c r="Q119" s="6"/>
      <c r="R119" s="6"/>
      <c r="S119" s="9">
        <f>IF(A119="","",IF(M119="Não contatar","Não contatar",IF(OR(H119="Fechado",H119="Perdido"),"Encerrado",IF(K119="","Sem data",IF(K119&lt;TODAY(),"Atrasado",IF(K119=TODAY(),"Hoje","Agendado")))))))</f>
        <v/>
      </c>
    </row>
    <row r="120" spans="1:19" ht="28" customHeight="1">
      <c r="A120" s="6"/>
      <c r="B120" s="6"/>
      <c r="C120" s="6"/>
      <c r="D120" s="6"/>
      <c r="E120" s="6"/>
      <c r="F120" s="6"/>
      <c r="G120" s="6"/>
      <c r="H120" s="6"/>
      <c r="I120" s="6"/>
      <c r="J120" s="7"/>
      <c r="K120" s="7"/>
      <c r="L120" s="6"/>
      <c r="M120" s="6"/>
      <c r="N120" s="8"/>
      <c r="O120" s="8"/>
      <c r="P120" s="7"/>
      <c r="Q120" s="6"/>
      <c r="R120" s="6"/>
      <c r="S120" s="9">
        <f>IF(A120="","",IF(M120="Não contatar","Não contatar",IF(OR(H120="Fechado",H120="Perdido"),"Encerrado",IF(K120="","Sem data",IF(K120&lt;TODAY(),"Atrasado",IF(K120=TODAY(),"Hoje","Agendado")))))))</f>
        <v/>
      </c>
    </row>
    <row r="121" spans="1:19" ht="28" customHeight="1">
      <c r="A121" s="6"/>
      <c r="B121" s="6"/>
      <c r="C121" s="6"/>
      <c r="D121" s="6"/>
      <c r="E121" s="6"/>
      <c r="F121" s="6"/>
      <c r="G121" s="6"/>
      <c r="H121" s="6"/>
      <c r="I121" s="6"/>
      <c r="J121" s="7"/>
      <c r="K121" s="7"/>
      <c r="L121" s="6"/>
      <c r="M121" s="6"/>
      <c r="N121" s="8"/>
      <c r="O121" s="8"/>
      <c r="P121" s="7"/>
      <c r="Q121" s="6"/>
      <c r="R121" s="6"/>
      <c r="S121" s="9">
        <f>IF(A121="","",IF(M121="Não contatar","Não contatar",IF(OR(H121="Fechado",H121="Perdido"),"Encerrado",IF(K121="","Sem data",IF(K121&lt;TODAY(),"Atrasado",IF(K121=TODAY(),"Hoje","Agendado")))))))</f>
        <v/>
      </c>
    </row>
    <row r="122" spans="1:19" ht="28" customHeight="1">
      <c r="A122" s="6"/>
      <c r="B122" s="6"/>
      <c r="C122" s="6"/>
      <c r="D122" s="6"/>
      <c r="E122" s="6"/>
      <c r="F122" s="6"/>
      <c r="G122" s="6"/>
      <c r="H122" s="6"/>
      <c r="I122" s="6"/>
      <c r="J122" s="7"/>
      <c r="K122" s="7"/>
      <c r="L122" s="6"/>
      <c r="M122" s="6"/>
      <c r="N122" s="8"/>
      <c r="O122" s="8"/>
      <c r="P122" s="7"/>
      <c r="Q122" s="6"/>
      <c r="R122" s="6"/>
      <c r="S122" s="9">
        <f>IF(A122="","",IF(M122="Não contatar","Não contatar",IF(OR(H122="Fechado",H122="Perdido"),"Encerrado",IF(K122="","Sem data",IF(K122&lt;TODAY(),"Atrasado",IF(K122=TODAY(),"Hoje","Agendado")))))))</f>
        <v/>
      </c>
    </row>
    <row r="123" spans="1:19" ht="28" customHeight="1">
      <c r="A123" s="6"/>
      <c r="B123" s="6"/>
      <c r="C123" s="6"/>
      <c r="D123" s="6"/>
      <c r="E123" s="6"/>
      <c r="F123" s="6"/>
      <c r="G123" s="6"/>
      <c r="H123" s="6"/>
      <c r="I123" s="6"/>
      <c r="J123" s="7"/>
      <c r="K123" s="7"/>
      <c r="L123" s="6"/>
      <c r="M123" s="6"/>
      <c r="N123" s="8"/>
      <c r="O123" s="8"/>
      <c r="P123" s="7"/>
      <c r="Q123" s="6"/>
      <c r="R123" s="6"/>
      <c r="S123" s="9">
        <f>IF(A123="","",IF(M123="Não contatar","Não contatar",IF(OR(H123="Fechado",H123="Perdido"),"Encerrado",IF(K123="","Sem data",IF(K123&lt;TODAY(),"Atrasado",IF(K123=TODAY(),"Hoje","Agendado")))))))</f>
        <v/>
      </c>
    </row>
    <row r="124" spans="1:19" ht="28" customHeight="1">
      <c r="A124" s="6"/>
      <c r="B124" s="6"/>
      <c r="C124" s="6"/>
      <c r="D124" s="6"/>
      <c r="E124" s="6"/>
      <c r="F124" s="6"/>
      <c r="G124" s="6"/>
      <c r="H124" s="6"/>
      <c r="I124" s="6"/>
      <c r="J124" s="7"/>
      <c r="K124" s="7"/>
      <c r="L124" s="6"/>
      <c r="M124" s="6"/>
      <c r="N124" s="8"/>
      <c r="O124" s="8"/>
      <c r="P124" s="7"/>
      <c r="Q124" s="6"/>
      <c r="R124" s="6"/>
      <c r="S124" s="9">
        <f>IF(A124="","",IF(M124="Não contatar","Não contatar",IF(OR(H124="Fechado",H124="Perdido"),"Encerrado",IF(K124="","Sem data",IF(K124&lt;TODAY(),"Atrasado",IF(K124=TODAY(),"Hoje","Agendado")))))))</f>
        <v/>
      </c>
    </row>
    <row r="125" spans="1:19" ht="28" customHeight="1">
      <c r="A125" s="6"/>
      <c r="B125" s="6"/>
      <c r="C125" s="6"/>
      <c r="D125" s="6"/>
      <c r="E125" s="6"/>
      <c r="F125" s="6"/>
      <c r="G125" s="6"/>
      <c r="H125" s="6"/>
      <c r="I125" s="6"/>
      <c r="J125" s="7"/>
      <c r="K125" s="7"/>
      <c r="L125" s="6"/>
      <c r="M125" s="6"/>
      <c r="N125" s="8"/>
      <c r="O125" s="8"/>
      <c r="P125" s="7"/>
      <c r="Q125" s="6"/>
      <c r="R125" s="6"/>
      <c r="S125" s="9">
        <f>IF(A125="","",IF(M125="Não contatar","Não contatar",IF(OR(H125="Fechado",H125="Perdido"),"Encerrado",IF(K125="","Sem data",IF(K125&lt;TODAY(),"Atrasado",IF(K125=TODAY(),"Hoje","Agendado")))))))</f>
        <v/>
      </c>
    </row>
    <row r="126" spans="1:19" ht="28" customHeight="1">
      <c r="A126" s="6"/>
      <c r="B126" s="6"/>
      <c r="C126" s="6"/>
      <c r="D126" s="6"/>
      <c r="E126" s="6"/>
      <c r="F126" s="6"/>
      <c r="G126" s="6"/>
      <c r="H126" s="6"/>
      <c r="I126" s="6"/>
      <c r="J126" s="7"/>
      <c r="K126" s="7"/>
      <c r="L126" s="6"/>
      <c r="M126" s="6"/>
      <c r="N126" s="8"/>
      <c r="O126" s="8"/>
      <c r="P126" s="7"/>
      <c r="Q126" s="6"/>
      <c r="R126" s="6"/>
      <c r="S126" s="9">
        <f>IF(A126="","",IF(M126="Não contatar","Não contatar",IF(OR(H126="Fechado",H126="Perdido"),"Encerrado",IF(K126="","Sem data",IF(K126&lt;TODAY(),"Atrasado",IF(K126=TODAY(),"Hoje","Agendado")))))))</f>
        <v/>
      </c>
    </row>
    <row r="127" spans="1:19" ht="28" customHeight="1">
      <c r="A127" s="6"/>
      <c r="B127" s="6"/>
      <c r="C127" s="6"/>
      <c r="D127" s="6"/>
      <c r="E127" s="6"/>
      <c r="F127" s="6"/>
      <c r="G127" s="6"/>
      <c r="H127" s="6"/>
      <c r="I127" s="6"/>
      <c r="J127" s="7"/>
      <c r="K127" s="7"/>
      <c r="L127" s="6"/>
      <c r="M127" s="6"/>
      <c r="N127" s="8"/>
      <c r="O127" s="8"/>
      <c r="P127" s="7"/>
      <c r="Q127" s="6"/>
      <c r="R127" s="6"/>
      <c r="S127" s="9">
        <f>IF(A127="","",IF(M127="Não contatar","Não contatar",IF(OR(H127="Fechado",H127="Perdido"),"Encerrado",IF(K127="","Sem data",IF(K127&lt;TODAY(),"Atrasado",IF(K127=TODAY(),"Hoje","Agendado")))))))</f>
        <v/>
      </c>
    </row>
    <row r="128" spans="1:19" ht="28" customHeight="1">
      <c r="A128" s="6"/>
      <c r="B128" s="6"/>
      <c r="C128" s="6"/>
      <c r="D128" s="6"/>
      <c r="E128" s="6"/>
      <c r="F128" s="6"/>
      <c r="G128" s="6"/>
      <c r="H128" s="6"/>
      <c r="I128" s="6"/>
      <c r="J128" s="7"/>
      <c r="K128" s="7"/>
      <c r="L128" s="6"/>
      <c r="M128" s="6"/>
      <c r="N128" s="8"/>
      <c r="O128" s="8"/>
      <c r="P128" s="7"/>
      <c r="Q128" s="6"/>
      <c r="R128" s="6"/>
      <c r="S128" s="9">
        <f>IF(A128="","",IF(M128="Não contatar","Não contatar",IF(OR(H128="Fechado",H128="Perdido"),"Encerrado",IF(K128="","Sem data",IF(K128&lt;TODAY(),"Atrasado",IF(K128=TODAY(),"Hoje","Agendado")))))))</f>
        <v/>
      </c>
    </row>
    <row r="129" spans="1:19" ht="28" customHeight="1">
      <c r="A129" s="6"/>
      <c r="B129" s="6"/>
      <c r="C129" s="6"/>
      <c r="D129" s="6"/>
      <c r="E129" s="6"/>
      <c r="F129" s="6"/>
      <c r="G129" s="6"/>
      <c r="H129" s="6"/>
      <c r="I129" s="6"/>
      <c r="J129" s="7"/>
      <c r="K129" s="7"/>
      <c r="L129" s="6"/>
      <c r="M129" s="6"/>
      <c r="N129" s="8"/>
      <c r="O129" s="8"/>
      <c r="P129" s="7"/>
      <c r="Q129" s="6"/>
      <c r="R129" s="6"/>
      <c r="S129" s="9">
        <f>IF(A129="","",IF(M129="Não contatar","Não contatar",IF(OR(H129="Fechado",H129="Perdido"),"Encerrado",IF(K129="","Sem data",IF(K129&lt;TODAY(),"Atrasado",IF(K129=TODAY(),"Hoje","Agendado")))))))</f>
        <v/>
      </c>
    </row>
    <row r="130" spans="1:19" ht="28" customHeight="1">
      <c r="A130" s="6"/>
      <c r="B130" s="6"/>
      <c r="C130" s="6"/>
      <c r="D130" s="6"/>
      <c r="E130" s="6"/>
      <c r="F130" s="6"/>
      <c r="G130" s="6"/>
      <c r="H130" s="6"/>
      <c r="I130" s="6"/>
      <c r="J130" s="7"/>
      <c r="K130" s="7"/>
      <c r="L130" s="6"/>
      <c r="M130" s="6"/>
      <c r="N130" s="8"/>
      <c r="O130" s="8"/>
      <c r="P130" s="7"/>
      <c r="Q130" s="6"/>
      <c r="R130" s="6"/>
      <c r="S130" s="9">
        <f>IF(A130="","",IF(M130="Não contatar","Não contatar",IF(OR(H130="Fechado",H130="Perdido"),"Encerrado",IF(K130="","Sem data",IF(K130&lt;TODAY(),"Atrasado",IF(K130=TODAY(),"Hoje","Agendado")))))))</f>
        <v/>
      </c>
    </row>
    <row r="131" spans="1:19" ht="28" customHeight="1">
      <c r="A131" s="6"/>
      <c r="B131" s="6"/>
      <c r="C131" s="6"/>
      <c r="D131" s="6"/>
      <c r="E131" s="6"/>
      <c r="F131" s="6"/>
      <c r="G131" s="6"/>
      <c r="H131" s="6"/>
      <c r="I131" s="6"/>
      <c r="J131" s="7"/>
      <c r="K131" s="7"/>
      <c r="L131" s="6"/>
      <c r="M131" s="6"/>
      <c r="N131" s="8"/>
      <c r="O131" s="8"/>
      <c r="P131" s="7"/>
      <c r="Q131" s="6"/>
      <c r="R131" s="6"/>
      <c r="S131" s="9">
        <f>IF(A131="","",IF(M131="Não contatar","Não contatar",IF(OR(H131="Fechado",H131="Perdido"),"Encerrado",IF(K131="","Sem data",IF(K131&lt;TODAY(),"Atrasado",IF(K131=TODAY(),"Hoje","Agendado")))))))</f>
        <v/>
      </c>
    </row>
    <row r="132" spans="1:19" ht="28" customHeight="1">
      <c r="A132" s="6"/>
      <c r="B132" s="6"/>
      <c r="C132" s="6"/>
      <c r="D132" s="6"/>
      <c r="E132" s="6"/>
      <c r="F132" s="6"/>
      <c r="G132" s="6"/>
      <c r="H132" s="6"/>
      <c r="I132" s="6"/>
      <c r="J132" s="7"/>
      <c r="K132" s="7"/>
      <c r="L132" s="6"/>
      <c r="M132" s="6"/>
      <c r="N132" s="8"/>
      <c r="O132" s="8"/>
      <c r="P132" s="7"/>
      <c r="Q132" s="6"/>
      <c r="R132" s="6"/>
      <c r="S132" s="9">
        <f>IF(A132="","",IF(M132="Não contatar","Não contatar",IF(OR(H132="Fechado",H132="Perdido"),"Encerrado",IF(K132="","Sem data",IF(K132&lt;TODAY(),"Atrasado",IF(K132=TODAY(),"Hoje","Agendado")))))))</f>
        <v/>
      </c>
    </row>
    <row r="133" spans="1:19" ht="28" customHeight="1">
      <c r="A133" s="6"/>
      <c r="B133" s="6"/>
      <c r="C133" s="6"/>
      <c r="D133" s="6"/>
      <c r="E133" s="6"/>
      <c r="F133" s="6"/>
      <c r="G133" s="6"/>
      <c r="H133" s="6"/>
      <c r="I133" s="6"/>
      <c r="J133" s="7"/>
      <c r="K133" s="7"/>
      <c r="L133" s="6"/>
      <c r="M133" s="6"/>
      <c r="N133" s="8"/>
      <c r="O133" s="8"/>
      <c r="P133" s="7"/>
      <c r="Q133" s="6"/>
      <c r="R133" s="6"/>
      <c r="S133" s="9">
        <f>IF(A133="","",IF(M133="Não contatar","Não contatar",IF(OR(H133="Fechado",H133="Perdido"),"Encerrado",IF(K133="","Sem data",IF(K133&lt;TODAY(),"Atrasado",IF(K133=TODAY(),"Hoje","Agendado")))))))</f>
        <v/>
      </c>
    </row>
    <row r="134" spans="1:19" ht="28" customHeight="1">
      <c r="A134" s="6"/>
      <c r="B134" s="6"/>
      <c r="C134" s="6"/>
      <c r="D134" s="6"/>
      <c r="E134" s="6"/>
      <c r="F134" s="6"/>
      <c r="G134" s="6"/>
      <c r="H134" s="6"/>
      <c r="I134" s="6"/>
      <c r="J134" s="7"/>
      <c r="K134" s="7"/>
      <c r="L134" s="6"/>
      <c r="M134" s="6"/>
      <c r="N134" s="8"/>
      <c r="O134" s="8"/>
      <c r="P134" s="7"/>
      <c r="Q134" s="6"/>
      <c r="R134" s="6"/>
      <c r="S134" s="9">
        <f>IF(A134="","",IF(M134="Não contatar","Não contatar",IF(OR(H134="Fechado",H134="Perdido"),"Encerrado",IF(K134="","Sem data",IF(K134&lt;TODAY(),"Atrasado",IF(K134=TODAY(),"Hoje","Agendado")))))))</f>
        <v/>
      </c>
    </row>
    <row r="135" spans="1:19" ht="28" customHeight="1">
      <c r="A135" s="6"/>
      <c r="B135" s="6"/>
      <c r="C135" s="6"/>
      <c r="D135" s="6"/>
      <c r="E135" s="6"/>
      <c r="F135" s="6"/>
      <c r="G135" s="6"/>
      <c r="H135" s="6"/>
      <c r="I135" s="6"/>
      <c r="J135" s="7"/>
      <c r="K135" s="7"/>
      <c r="L135" s="6"/>
      <c r="M135" s="6"/>
      <c r="N135" s="8"/>
      <c r="O135" s="8"/>
      <c r="P135" s="7"/>
      <c r="Q135" s="6"/>
      <c r="R135" s="6"/>
      <c r="S135" s="9">
        <f>IF(A135="","",IF(M135="Não contatar","Não contatar",IF(OR(H135="Fechado",H135="Perdido"),"Encerrado",IF(K135="","Sem data",IF(K135&lt;TODAY(),"Atrasado",IF(K135=TODAY(),"Hoje","Agendado")))))))</f>
        <v/>
      </c>
    </row>
    <row r="136" spans="1:19" ht="28" customHeight="1">
      <c r="A136" s="6"/>
      <c r="B136" s="6"/>
      <c r="C136" s="6"/>
      <c r="D136" s="6"/>
      <c r="E136" s="6"/>
      <c r="F136" s="6"/>
      <c r="G136" s="6"/>
      <c r="H136" s="6"/>
      <c r="I136" s="6"/>
      <c r="J136" s="7"/>
      <c r="K136" s="7"/>
      <c r="L136" s="6"/>
      <c r="M136" s="6"/>
      <c r="N136" s="8"/>
      <c r="O136" s="8"/>
      <c r="P136" s="7"/>
      <c r="Q136" s="6"/>
      <c r="R136" s="6"/>
      <c r="S136" s="9">
        <f>IF(A136="","",IF(M136="Não contatar","Não contatar",IF(OR(H136="Fechado",H136="Perdido"),"Encerrado",IF(K136="","Sem data",IF(K136&lt;TODAY(),"Atrasado",IF(K136=TODAY(),"Hoje","Agendado")))))))</f>
        <v/>
      </c>
    </row>
    <row r="137" spans="1:19" ht="28" customHeight="1">
      <c r="A137" s="6"/>
      <c r="B137" s="6"/>
      <c r="C137" s="6"/>
      <c r="D137" s="6"/>
      <c r="E137" s="6"/>
      <c r="F137" s="6"/>
      <c r="G137" s="6"/>
      <c r="H137" s="6"/>
      <c r="I137" s="6"/>
      <c r="J137" s="7"/>
      <c r="K137" s="7"/>
      <c r="L137" s="6"/>
      <c r="M137" s="6"/>
      <c r="N137" s="8"/>
      <c r="O137" s="8"/>
      <c r="P137" s="7"/>
      <c r="Q137" s="6"/>
      <c r="R137" s="6"/>
      <c r="S137" s="9">
        <f>IF(A137="","",IF(M137="Não contatar","Não contatar",IF(OR(H137="Fechado",H137="Perdido"),"Encerrado",IF(K137="","Sem data",IF(K137&lt;TODAY(),"Atrasado",IF(K137=TODAY(),"Hoje","Agendado")))))))</f>
        <v/>
      </c>
    </row>
    <row r="138" spans="1:19" ht="28" customHeight="1">
      <c r="A138" s="6"/>
      <c r="B138" s="6"/>
      <c r="C138" s="6"/>
      <c r="D138" s="6"/>
      <c r="E138" s="6"/>
      <c r="F138" s="6"/>
      <c r="G138" s="6"/>
      <c r="H138" s="6"/>
      <c r="I138" s="6"/>
      <c r="J138" s="7"/>
      <c r="K138" s="7"/>
      <c r="L138" s="6"/>
      <c r="M138" s="6"/>
      <c r="N138" s="8"/>
      <c r="O138" s="8"/>
      <c r="P138" s="7"/>
      <c r="Q138" s="6"/>
      <c r="R138" s="6"/>
      <c r="S138" s="9">
        <f>IF(A138="","",IF(M138="Não contatar","Não contatar",IF(OR(H138="Fechado",H138="Perdido"),"Encerrado",IF(K138="","Sem data",IF(K138&lt;TODAY(),"Atrasado",IF(K138=TODAY(),"Hoje","Agendado")))))))</f>
        <v/>
      </c>
    </row>
    <row r="139" spans="1:19" ht="28" customHeight="1">
      <c r="A139" s="6"/>
      <c r="B139" s="6"/>
      <c r="C139" s="6"/>
      <c r="D139" s="6"/>
      <c r="E139" s="6"/>
      <c r="F139" s="6"/>
      <c r="G139" s="6"/>
      <c r="H139" s="6"/>
      <c r="I139" s="6"/>
      <c r="J139" s="7"/>
      <c r="K139" s="7"/>
      <c r="L139" s="6"/>
      <c r="M139" s="6"/>
      <c r="N139" s="8"/>
      <c r="O139" s="8"/>
      <c r="P139" s="7"/>
      <c r="Q139" s="6"/>
      <c r="R139" s="6"/>
      <c r="S139" s="9">
        <f>IF(A139="","",IF(M139="Não contatar","Não contatar",IF(OR(H139="Fechado",H139="Perdido"),"Encerrado",IF(K139="","Sem data",IF(K139&lt;TODAY(),"Atrasado",IF(K139=TODAY(),"Hoje","Agendado")))))))</f>
        <v/>
      </c>
    </row>
    <row r="140" spans="1:19" ht="28" customHeight="1">
      <c r="A140" s="6"/>
      <c r="B140" s="6"/>
      <c r="C140" s="6"/>
      <c r="D140" s="6"/>
      <c r="E140" s="6"/>
      <c r="F140" s="6"/>
      <c r="G140" s="6"/>
      <c r="H140" s="6"/>
      <c r="I140" s="6"/>
      <c r="J140" s="7"/>
      <c r="K140" s="7"/>
      <c r="L140" s="6"/>
      <c r="M140" s="6"/>
      <c r="N140" s="8"/>
      <c r="O140" s="8"/>
      <c r="P140" s="7"/>
      <c r="Q140" s="6"/>
      <c r="R140" s="6"/>
      <c r="S140" s="9">
        <f>IF(A140="","",IF(M140="Não contatar","Não contatar",IF(OR(H140="Fechado",H140="Perdido"),"Encerrado",IF(K140="","Sem data",IF(K140&lt;TODAY(),"Atrasado",IF(K140=TODAY(),"Hoje","Agendado")))))))</f>
        <v/>
      </c>
    </row>
    <row r="141" spans="1:19" ht="28" customHeight="1">
      <c r="A141" s="6"/>
      <c r="B141" s="6"/>
      <c r="C141" s="6"/>
      <c r="D141" s="6"/>
      <c r="E141" s="6"/>
      <c r="F141" s="6"/>
      <c r="G141" s="6"/>
      <c r="H141" s="6"/>
      <c r="I141" s="6"/>
      <c r="J141" s="7"/>
      <c r="K141" s="7"/>
      <c r="L141" s="6"/>
      <c r="M141" s="6"/>
      <c r="N141" s="8"/>
      <c r="O141" s="8"/>
      <c r="P141" s="7"/>
      <c r="Q141" s="6"/>
      <c r="R141" s="6"/>
      <c r="S141" s="9">
        <f>IF(A141="","",IF(M141="Não contatar","Não contatar",IF(OR(H141="Fechado",H141="Perdido"),"Encerrado",IF(K141="","Sem data",IF(K141&lt;TODAY(),"Atrasado",IF(K141=TODAY(),"Hoje","Agendado")))))))</f>
        <v/>
      </c>
    </row>
    <row r="142" spans="1:19" ht="28" customHeight="1">
      <c r="A142" s="6"/>
      <c r="B142" s="6"/>
      <c r="C142" s="6"/>
      <c r="D142" s="6"/>
      <c r="E142" s="6"/>
      <c r="F142" s="6"/>
      <c r="G142" s="6"/>
      <c r="H142" s="6"/>
      <c r="I142" s="6"/>
      <c r="J142" s="7"/>
      <c r="K142" s="7"/>
      <c r="L142" s="6"/>
      <c r="M142" s="6"/>
      <c r="N142" s="8"/>
      <c r="O142" s="8"/>
      <c r="P142" s="7"/>
      <c r="Q142" s="6"/>
      <c r="R142" s="6"/>
      <c r="S142" s="9">
        <f>IF(A142="","",IF(M142="Não contatar","Não contatar",IF(OR(H142="Fechado",H142="Perdido"),"Encerrado",IF(K142="","Sem data",IF(K142&lt;TODAY(),"Atrasado",IF(K142=TODAY(),"Hoje","Agendado")))))))</f>
        <v/>
      </c>
    </row>
    <row r="143" spans="1:19" ht="28" customHeight="1">
      <c r="A143" s="6"/>
      <c r="B143" s="6"/>
      <c r="C143" s="6"/>
      <c r="D143" s="6"/>
      <c r="E143" s="6"/>
      <c r="F143" s="6"/>
      <c r="G143" s="6"/>
      <c r="H143" s="6"/>
      <c r="I143" s="6"/>
      <c r="J143" s="7"/>
      <c r="K143" s="7"/>
      <c r="L143" s="6"/>
      <c r="M143" s="6"/>
      <c r="N143" s="8"/>
      <c r="O143" s="8"/>
      <c r="P143" s="7"/>
      <c r="Q143" s="6"/>
      <c r="R143" s="6"/>
      <c r="S143" s="9">
        <f>IF(A143="","",IF(M143="Não contatar","Não contatar",IF(OR(H143="Fechado",H143="Perdido"),"Encerrado",IF(K143="","Sem data",IF(K143&lt;TODAY(),"Atrasado",IF(K143=TODAY(),"Hoje","Agendado")))))))</f>
        <v/>
      </c>
    </row>
    <row r="144" spans="1:19" ht="28" customHeight="1">
      <c r="A144" s="6"/>
      <c r="B144" s="6"/>
      <c r="C144" s="6"/>
      <c r="D144" s="6"/>
      <c r="E144" s="6"/>
      <c r="F144" s="6"/>
      <c r="G144" s="6"/>
      <c r="H144" s="6"/>
      <c r="I144" s="6"/>
      <c r="J144" s="7"/>
      <c r="K144" s="7"/>
      <c r="L144" s="6"/>
      <c r="M144" s="6"/>
      <c r="N144" s="8"/>
      <c r="O144" s="8"/>
      <c r="P144" s="7"/>
      <c r="Q144" s="6"/>
      <c r="R144" s="6"/>
      <c r="S144" s="9">
        <f>IF(A144="","",IF(M144="Não contatar","Não contatar",IF(OR(H144="Fechado",H144="Perdido"),"Encerrado",IF(K144="","Sem data",IF(K144&lt;TODAY(),"Atrasado",IF(K144=TODAY(),"Hoje","Agendado")))))))</f>
        <v/>
      </c>
    </row>
    <row r="145" spans="1:19" ht="28" customHeight="1">
      <c r="A145" s="6"/>
      <c r="B145" s="6"/>
      <c r="C145" s="6"/>
      <c r="D145" s="6"/>
      <c r="E145" s="6"/>
      <c r="F145" s="6"/>
      <c r="G145" s="6"/>
      <c r="H145" s="6"/>
      <c r="I145" s="6"/>
      <c r="J145" s="7"/>
      <c r="K145" s="7"/>
      <c r="L145" s="6"/>
      <c r="M145" s="6"/>
      <c r="N145" s="8"/>
      <c r="O145" s="8"/>
      <c r="P145" s="7"/>
      <c r="Q145" s="6"/>
      <c r="R145" s="6"/>
      <c r="S145" s="9">
        <f>IF(A145="","",IF(M145="Não contatar","Não contatar",IF(OR(H145="Fechado",H145="Perdido"),"Encerrado",IF(K145="","Sem data",IF(K145&lt;TODAY(),"Atrasado",IF(K145=TODAY(),"Hoje","Agendado")))))))</f>
        <v/>
      </c>
    </row>
    <row r="146" spans="1:19" ht="28" customHeight="1">
      <c r="A146" s="6"/>
      <c r="B146" s="6"/>
      <c r="C146" s="6"/>
      <c r="D146" s="6"/>
      <c r="E146" s="6"/>
      <c r="F146" s="6"/>
      <c r="G146" s="6"/>
      <c r="H146" s="6"/>
      <c r="I146" s="6"/>
      <c r="J146" s="7"/>
      <c r="K146" s="7"/>
      <c r="L146" s="6"/>
      <c r="M146" s="6"/>
      <c r="N146" s="8"/>
      <c r="O146" s="8"/>
      <c r="P146" s="7"/>
      <c r="Q146" s="6"/>
      <c r="R146" s="6"/>
      <c r="S146" s="9">
        <f>IF(A146="","",IF(M146="Não contatar","Não contatar",IF(OR(H146="Fechado",H146="Perdido"),"Encerrado",IF(K146="","Sem data",IF(K146&lt;TODAY(),"Atrasado",IF(K146=TODAY(),"Hoje","Agendado")))))))</f>
        <v/>
      </c>
    </row>
    <row r="147" spans="1:19" ht="28" customHeight="1">
      <c r="A147" s="6"/>
      <c r="B147" s="6"/>
      <c r="C147" s="6"/>
      <c r="D147" s="6"/>
      <c r="E147" s="6"/>
      <c r="F147" s="6"/>
      <c r="G147" s="6"/>
      <c r="H147" s="6"/>
      <c r="I147" s="6"/>
      <c r="J147" s="7"/>
      <c r="K147" s="7"/>
      <c r="L147" s="6"/>
      <c r="M147" s="6"/>
      <c r="N147" s="8"/>
      <c r="O147" s="8"/>
      <c r="P147" s="7"/>
      <c r="Q147" s="6"/>
      <c r="R147" s="6"/>
      <c r="S147" s="9">
        <f>IF(A147="","",IF(M147="Não contatar","Não contatar",IF(OR(H147="Fechado",H147="Perdido"),"Encerrado",IF(K147="","Sem data",IF(K147&lt;TODAY(),"Atrasado",IF(K147=TODAY(),"Hoje","Agendado")))))))</f>
        <v/>
      </c>
    </row>
    <row r="148" spans="1:19" ht="28" customHeight="1">
      <c r="A148" s="6"/>
      <c r="B148" s="6"/>
      <c r="C148" s="6"/>
      <c r="D148" s="6"/>
      <c r="E148" s="6"/>
      <c r="F148" s="6"/>
      <c r="G148" s="6"/>
      <c r="H148" s="6"/>
      <c r="I148" s="6"/>
      <c r="J148" s="7"/>
      <c r="K148" s="7"/>
      <c r="L148" s="6"/>
      <c r="M148" s="6"/>
      <c r="N148" s="8"/>
      <c r="O148" s="8"/>
      <c r="P148" s="7"/>
      <c r="Q148" s="6"/>
      <c r="R148" s="6"/>
      <c r="S148" s="9">
        <f>IF(A148="","",IF(M148="Não contatar","Não contatar",IF(OR(H148="Fechado",H148="Perdido"),"Encerrado",IF(K148="","Sem data",IF(K148&lt;TODAY(),"Atrasado",IF(K148=TODAY(),"Hoje","Agendado")))))))</f>
        <v/>
      </c>
    </row>
    <row r="149" spans="1:19" ht="28" customHeight="1">
      <c r="A149" s="6"/>
      <c r="B149" s="6"/>
      <c r="C149" s="6"/>
      <c r="D149" s="6"/>
      <c r="E149" s="6"/>
      <c r="F149" s="6"/>
      <c r="G149" s="6"/>
      <c r="H149" s="6"/>
      <c r="I149" s="6"/>
      <c r="J149" s="7"/>
      <c r="K149" s="7"/>
      <c r="L149" s="6"/>
      <c r="M149" s="6"/>
      <c r="N149" s="8"/>
      <c r="O149" s="8"/>
      <c r="P149" s="7"/>
      <c r="Q149" s="6"/>
      <c r="R149" s="6"/>
      <c r="S149" s="9">
        <f>IF(A149="","",IF(M149="Não contatar","Não contatar",IF(OR(H149="Fechado",H149="Perdido"),"Encerrado",IF(K149="","Sem data",IF(K149&lt;TODAY(),"Atrasado",IF(K149=TODAY(),"Hoje","Agendado")))))))</f>
        <v/>
      </c>
    </row>
    <row r="150" spans="1:19" ht="28" customHeight="1">
      <c r="A150" s="6"/>
      <c r="B150" s="6"/>
      <c r="C150" s="6"/>
      <c r="D150" s="6"/>
      <c r="E150" s="6"/>
      <c r="F150" s="6"/>
      <c r="G150" s="6"/>
      <c r="H150" s="6"/>
      <c r="I150" s="6"/>
      <c r="J150" s="7"/>
      <c r="K150" s="7"/>
      <c r="L150" s="6"/>
      <c r="M150" s="6"/>
      <c r="N150" s="8"/>
      <c r="O150" s="8"/>
      <c r="P150" s="7"/>
      <c r="Q150" s="6"/>
      <c r="R150" s="6"/>
      <c r="S150" s="9">
        <f>IF(A150="","",IF(M150="Não contatar","Não contatar",IF(OR(H150="Fechado",H150="Perdido"),"Encerrado",IF(K150="","Sem data",IF(K150&lt;TODAY(),"Atrasado",IF(K150=TODAY(),"Hoje","Agendado")))))))</f>
        <v/>
      </c>
    </row>
    <row r="151" spans="1:19" ht="28" customHeight="1">
      <c r="A151" s="6"/>
      <c r="B151" s="6"/>
      <c r="C151" s="6"/>
      <c r="D151" s="6"/>
      <c r="E151" s="6"/>
      <c r="F151" s="6"/>
      <c r="G151" s="6"/>
      <c r="H151" s="6"/>
      <c r="I151" s="6"/>
      <c r="J151" s="7"/>
      <c r="K151" s="7"/>
      <c r="L151" s="6"/>
      <c r="M151" s="6"/>
      <c r="N151" s="8"/>
      <c r="O151" s="8"/>
      <c r="P151" s="7"/>
      <c r="Q151" s="6"/>
      <c r="R151" s="6"/>
      <c r="S151" s="9">
        <f>IF(A151="","",IF(M151="Não contatar","Não contatar",IF(OR(H151="Fechado",H151="Perdido"),"Encerrado",IF(K151="","Sem data",IF(K151&lt;TODAY(),"Atrasado",IF(K151=TODAY(),"Hoje","Agendado")))))))</f>
        <v/>
      </c>
    </row>
    <row r="152" spans="1:19" ht="28" customHeight="1">
      <c r="A152" s="6"/>
      <c r="B152" s="6"/>
      <c r="C152" s="6"/>
      <c r="D152" s="6"/>
      <c r="E152" s="6"/>
      <c r="F152" s="6"/>
      <c r="G152" s="6"/>
      <c r="H152" s="6"/>
      <c r="I152" s="6"/>
      <c r="J152" s="7"/>
      <c r="K152" s="7"/>
      <c r="L152" s="6"/>
      <c r="M152" s="6"/>
      <c r="N152" s="8"/>
      <c r="O152" s="8"/>
      <c r="P152" s="7"/>
      <c r="Q152" s="6"/>
      <c r="R152" s="6"/>
      <c r="S152" s="9">
        <f>IF(A152="","",IF(M152="Não contatar","Não contatar",IF(OR(H152="Fechado",H152="Perdido"),"Encerrado",IF(K152="","Sem data",IF(K152&lt;TODAY(),"Atrasado",IF(K152=TODAY(),"Hoje","Agendado")))))))</f>
        <v/>
      </c>
    </row>
    <row r="153" spans="1:19" ht="28" customHeight="1">
      <c r="A153" s="6"/>
      <c r="B153" s="6"/>
      <c r="C153" s="6"/>
      <c r="D153" s="6"/>
      <c r="E153" s="6"/>
      <c r="F153" s="6"/>
      <c r="G153" s="6"/>
      <c r="H153" s="6"/>
      <c r="I153" s="6"/>
      <c r="J153" s="7"/>
      <c r="K153" s="7"/>
      <c r="L153" s="6"/>
      <c r="M153" s="6"/>
      <c r="N153" s="8"/>
      <c r="O153" s="8"/>
      <c r="P153" s="7"/>
      <c r="Q153" s="6"/>
      <c r="R153" s="6"/>
      <c r="S153" s="9">
        <f>IF(A153="","",IF(M153="Não contatar","Não contatar",IF(OR(H153="Fechado",H153="Perdido"),"Encerrado",IF(K153="","Sem data",IF(K153&lt;TODAY(),"Atrasado",IF(K153=TODAY(),"Hoje","Agendado")))))))</f>
        <v/>
      </c>
    </row>
    <row r="154" spans="1:19" ht="28" customHeight="1">
      <c r="A154" s="6"/>
      <c r="B154" s="6"/>
      <c r="C154" s="6"/>
      <c r="D154" s="6"/>
      <c r="E154" s="6"/>
      <c r="F154" s="6"/>
      <c r="G154" s="6"/>
      <c r="H154" s="6"/>
      <c r="I154" s="6"/>
      <c r="J154" s="7"/>
      <c r="K154" s="7"/>
      <c r="L154" s="6"/>
      <c r="M154" s="6"/>
      <c r="N154" s="8"/>
      <c r="O154" s="8"/>
      <c r="P154" s="7"/>
      <c r="Q154" s="6"/>
      <c r="R154" s="6"/>
      <c r="S154" s="9">
        <f>IF(A154="","",IF(M154="Não contatar","Não contatar",IF(OR(H154="Fechado",H154="Perdido"),"Encerrado",IF(K154="","Sem data",IF(K154&lt;TODAY(),"Atrasado",IF(K154=TODAY(),"Hoje","Agendado")))))))</f>
        <v/>
      </c>
    </row>
    <row r="155" spans="1:19" ht="28" customHeight="1">
      <c r="A155" s="6"/>
      <c r="B155" s="6"/>
      <c r="C155" s="6"/>
      <c r="D155" s="6"/>
      <c r="E155" s="6"/>
      <c r="F155" s="6"/>
      <c r="G155" s="6"/>
      <c r="H155" s="6"/>
      <c r="I155" s="6"/>
      <c r="J155" s="7"/>
      <c r="K155" s="7"/>
      <c r="L155" s="6"/>
      <c r="M155" s="6"/>
      <c r="N155" s="8"/>
      <c r="O155" s="8"/>
      <c r="P155" s="7"/>
      <c r="Q155" s="6"/>
      <c r="R155" s="6"/>
      <c r="S155" s="9">
        <f>IF(A155="","",IF(M155="Não contatar","Não contatar",IF(OR(H155="Fechado",H155="Perdido"),"Encerrado",IF(K155="","Sem data",IF(K155&lt;TODAY(),"Atrasado",IF(K155=TODAY(),"Hoje","Agendado")))))))</f>
        <v/>
      </c>
    </row>
    <row r="156" spans="1:19" ht="28" customHeight="1">
      <c r="A156" s="6"/>
      <c r="B156" s="6"/>
      <c r="C156" s="6"/>
      <c r="D156" s="6"/>
      <c r="E156" s="6"/>
      <c r="F156" s="6"/>
      <c r="G156" s="6"/>
      <c r="H156" s="6"/>
      <c r="I156" s="6"/>
      <c r="J156" s="7"/>
      <c r="K156" s="7"/>
      <c r="L156" s="6"/>
      <c r="M156" s="6"/>
      <c r="N156" s="8"/>
      <c r="O156" s="8"/>
      <c r="P156" s="7"/>
      <c r="Q156" s="6"/>
      <c r="R156" s="6"/>
      <c r="S156" s="9">
        <f>IF(A156="","",IF(M156="Não contatar","Não contatar",IF(OR(H156="Fechado",H156="Perdido"),"Encerrado",IF(K156="","Sem data",IF(K156&lt;TODAY(),"Atrasado",IF(K156=TODAY(),"Hoje","Agendado")))))))</f>
        <v/>
      </c>
    </row>
    <row r="157" spans="1:19" ht="28" customHeight="1">
      <c r="A157" s="6"/>
      <c r="B157" s="6"/>
      <c r="C157" s="6"/>
      <c r="D157" s="6"/>
      <c r="E157" s="6"/>
      <c r="F157" s="6"/>
      <c r="G157" s="6"/>
      <c r="H157" s="6"/>
      <c r="I157" s="6"/>
      <c r="J157" s="7"/>
      <c r="K157" s="7"/>
      <c r="L157" s="6"/>
      <c r="M157" s="6"/>
      <c r="N157" s="8"/>
      <c r="O157" s="8"/>
      <c r="P157" s="7"/>
      <c r="Q157" s="6"/>
      <c r="R157" s="6"/>
      <c r="S157" s="9">
        <f>IF(A157="","",IF(M157="Não contatar","Não contatar",IF(OR(H157="Fechado",H157="Perdido"),"Encerrado",IF(K157="","Sem data",IF(K157&lt;TODAY(),"Atrasado",IF(K157=TODAY(),"Hoje","Agendado")))))))</f>
        <v/>
      </c>
    </row>
    <row r="158" spans="1:19" ht="28" customHeight="1">
      <c r="A158" s="6"/>
      <c r="B158" s="6"/>
      <c r="C158" s="6"/>
      <c r="D158" s="6"/>
      <c r="E158" s="6"/>
      <c r="F158" s="6"/>
      <c r="G158" s="6"/>
      <c r="H158" s="6"/>
      <c r="I158" s="6"/>
      <c r="J158" s="7"/>
      <c r="K158" s="7"/>
      <c r="L158" s="6"/>
      <c r="M158" s="6"/>
      <c r="N158" s="8"/>
      <c r="O158" s="8"/>
      <c r="P158" s="7"/>
      <c r="Q158" s="6"/>
      <c r="R158" s="6"/>
      <c r="S158" s="9">
        <f>IF(A158="","",IF(M158="Não contatar","Não contatar",IF(OR(H158="Fechado",H158="Perdido"),"Encerrado",IF(K158="","Sem data",IF(K158&lt;TODAY(),"Atrasado",IF(K158=TODAY(),"Hoje","Agendado")))))))</f>
        <v/>
      </c>
    </row>
    <row r="159" spans="1:19" ht="28" customHeight="1">
      <c r="A159" s="6"/>
      <c r="B159" s="6"/>
      <c r="C159" s="6"/>
      <c r="D159" s="6"/>
      <c r="E159" s="6"/>
      <c r="F159" s="6"/>
      <c r="G159" s="6"/>
      <c r="H159" s="6"/>
      <c r="I159" s="6"/>
      <c r="J159" s="7"/>
      <c r="K159" s="7"/>
      <c r="L159" s="6"/>
      <c r="M159" s="6"/>
      <c r="N159" s="8"/>
      <c r="O159" s="8"/>
      <c r="P159" s="7"/>
      <c r="Q159" s="6"/>
      <c r="R159" s="6"/>
      <c r="S159" s="9">
        <f>IF(A159="","",IF(M159="Não contatar","Não contatar",IF(OR(H159="Fechado",H159="Perdido"),"Encerrado",IF(K159="","Sem data",IF(K159&lt;TODAY(),"Atrasado",IF(K159=TODAY(),"Hoje","Agendado")))))))</f>
        <v/>
      </c>
    </row>
    <row r="160" spans="1:19" ht="28" customHeight="1">
      <c r="A160" s="6"/>
      <c r="B160" s="6"/>
      <c r="C160" s="6"/>
      <c r="D160" s="6"/>
      <c r="E160" s="6"/>
      <c r="F160" s="6"/>
      <c r="G160" s="6"/>
      <c r="H160" s="6"/>
      <c r="I160" s="6"/>
      <c r="J160" s="7"/>
      <c r="K160" s="7"/>
      <c r="L160" s="6"/>
      <c r="M160" s="6"/>
      <c r="N160" s="8"/>
      <c r="O160" s="8"/>
      <c r="P160" s="7"/>
      <c r="Q160" s="6"/>
      <c r="R160" s="6"/>
      <c r="S160" s="9">
        <f>IF(A160="","",IF(M160="Não contatar","Não contatar",IF(OR(H160="Fechado",H160="Perdido"),"Encerrado",IF(K160="","Sem data",IF(K160&lt;TODAY(),"Atrasado",IF(K160=TODAY(),"Hoje","Agendado")))))))</f>
        <v/>
      </c>
    </row>
    <row r="161" spans="1:19" ht="28" customHeight="1">
      <c r="A161" s="6"/>
      <c r="B161" s="6"/>
      <c r="C161" s="6"/>
      <c r="D161" s="6"/>
      <c r="E161" s="6"/>
      <c r="F161" s="6"/>
      <c r="G161" s="6"/>
      <c r="H161" s="6"/>
      <c r="I161" s="6"/>
      <c r="J161" s="7"/>
      <c r="K161" s="7"/>
      <c r="L161" s="6"/>
      <c r="M161" s="6"/>
      <c r="N161" s="8"/>
      <c r="O161" s="8"/>
      <c r="P161" s="7"/>
      <c r="Q161" s="6"/>
      <c r="R161" s="6"/>
      <c r="S161" s="9">
        <f>IF(A161="","",IF(M161="Não contatar","Não contatar",IF(OR(H161="Fechado",H161="Perdido"),"Encerrado",IF(K161="","Sem data",IF(K161&lt;TODAY(),"Atrasado",IF(K161=TODAY(),"Hoje","Agendado")))))))</f>
        <v/>
      </c>
    </row>
    <row r="162" spans="1:19" ht="28" customHeight="1">
      <c r="A162" s="6"/>
      <c r="B162" s="6"/>
      <c r="C162" s="6"/>
      <c r="D162" s="6"/>
      <c r="E162" s="6"/>
      <c r="F162" s="6"/>
      <c r="G162" s="6"/>
      <c r="H162" s="6"/>
      <c r="I162" s="6"/>
      <c r="J162" s="7"/>
      <c r="K162" s="7"/>
      <c r="L162" s="6"/>
      <c r="M162" s="6"/>
      <c r="N162" s="8"/>
      <c r="O162" s="8"/>
      <c r="P162" s="7"/>
      <c r="Q162" s="6"/>
      <c r="R162" s="6"/>
      <c r="S162" s="9">
        <f>IF(A162="","",IF(M162="Não contatar","Não contatar",IF(OR(H162="Fechado",H162="Perdido"),"Encerrado",IF(K162="","Sem data",IF(K162&lt;TODAY(),"Atrasado",IF(K162=TODAY(),"Hoje","Agendado")))))))</f>
        <v/>
      </c>
    </row>
    <row r="163" spans="1:19" ht="28" customHeight="1">
      <c r="A163" s="6"/>
      <c r="B163" s="6"/>
      <c r="C163" s="6"/>
      <c r="D163" s="6"/>
      <c r="E163" s="6"/>
      <c r="F163" s="6"/>
      <c r="G163" s="6"/>
      <c r="H163" s="6"/>
      <c r="I163" s="6"/>
      <c r="J163" s="7"/>
      <c r="K163" s="7"/>
      <c r="L163" s="6"/>
      <c r="M163" s="6"/>
      <c r="N163" s="8"/>
      <c r="O163" s="8"/>
      <c r="P163" s="7"/>
      <c r="Q163" s="6"/>
      <c r="R163" s="6"/>
      <c r="S163" s="9">
        <f>IF(A163="","",IF(M163="Não contatar","Não contatar",IF(OR(H163="Fechado",H163="Perdido"),"Encerrado",IF(K163="","Sem data",IF(K163&lt;TODAY(),"Atrasado",IF(K163=TODAY(),"Hoje","Agendado")))))))</f>
        <v/>
      </c>
    </row>
    <row r="164" spans="1:19" ht="28" customHeight="1">
      <c r="A164" s="6"/>
      <c r="B164" s="6"/>
      <c r="C164" s="6"/>
      <c r="D164" s="6"/>
      <c r="E164" s="6"/>
      <c r="F164" s="6"/>
      <c r="G164" s="6"/>
      <c r="H164" s="6"/>
      <c r="I164" s="6"/>
      <c r="J164" s="7"/>
      <c r="K164" s="7"/>
      <c r="L164" s="6"/>
      <c r="M164" s="6"/>
      <c r="N164" s="8"/>
      <c r="O164" s="8"/>
      <c r="P164" s="7"/>
      <c r="Q164" s="6"/>
      <c r="R164" s="6"/>
      <c r="S164" s="9">
        <f>IF(A164="","",IF(M164="Não contatar","Não contatar",IF(OR(H164="Fechado",H164="Perdido"),"Encerrado",IF(K164="","Sem data",IF(K164&lt;TODAY(),"Atrasado",IF(K164=TODAY(),"Hoje","Agendado")))))))</f>
        <v/>
      </c>
    </row>
    <row r="165" spans="1:19" ht="28" customHeight="1">
      <c r="A165" s="6"/>
      <c r="B165" s="6"/>
      <c r="C165" s="6"/>
      <c r="D165" s="6"/>
      <c r="E165" s="6"/>
      <c r="F165" s="6"/>
      <c r="G165" s="6"/>
      <c r="H165" s="6"/>
      <c r="I165" s="6"/>
      <c r="J165" s="7"/>
      <c r="K165" s="7"/>
      <c r="L165" s="6"/>
      <c r="M165" s="6"/>
      <c r="N165" s="8"/>
      <c r="O165" s="8"/>
      <c r="P165" s="7"/>
      <c r="Q165" s="6"/>
      <c r="R165" s="6"/>
      <c r="S165" s="9">
        <f>IF(A165="","",IF(M165="Não contatar","Não contatar",IF(OR(H165="Fechado",H165="Perdido"),"Encerrado",IF(K165="","Sem data",IF(K165&lt;TODAY(),"Atrasado",IF(K165=TODAY(),"Hoje","Agendado")))))))</f>
        <v/>
      </c>
    </row>
    <row r="166" spans="1:19" ht="28" customHeight="1">
      <c r="A166" s="6"/>
      <c r="B166" s="6"/>
      <c r="C166" s="6"/>
      <c r="D166" s="6"/>
      <c r="E166" s="6"/>
      <c r="F166" s="6"/>
      <c r="G166" s="6"/>
      <c r="H166" s="6"/>
      <c r="I166" s="6"/>
      <c r="J166" s="7"/>
      <c r="K166" s="7"/>
      <c r="L166" s="6"/>
      <c r="M166" s="6"/>
      <c r="N166" s="8"/>
      <c r="O166" s="8"/>
      <c r="P166" s="7"/>
      <c r="Q166" s="6"/>
      <c r="R166" s="6"/>
      <c r="S166" s="9">
        <f>IF(A166="","",IF(M166="Não contatar","Não contatar",IF(OR(H166="Fechado",H166="Perdido"),"Encerrado",IF(K166="","Sem data",IF(K166&lt;TODAY(),"Atrasado",IF(K166=TODAY(),"Hoje","Agendado")))))))</f>
        <v/>
      </c>
    </row>
    <row r="167" spans="1:19" ht="28" customHeight="1">
      <c r="A167" s="6"/>
      <c r="B167" s="6"/>
      <c r="C167" s="6"/>
      <c r="D167" s="6"/>
      <c r="E167" s="6"/>
      <c r="F167" s="6"/>
      <c r="G167" s="6"/>
      <c r="H167" s="6"/>
      <c r="I167" s="6"/>
      <c r="J167" s="7"/>
      <c r="K167" s="7"/>
      <c r="L167" s="6"/>
      <c r="M167" s="6"/>
      <c r="N167" s="8"/>
      <c r="O167" s="8"/>
      <c r="P167" s="7"/>
      <c r="Q167" s="6"/>
      <c r="R167" s="6"/>
      <c r="S167" s="9">
        <f>IF(A167="","",IF(M167="Não contatar","Não contatar",IF(OR(H167="Fechado",H167="Perdido"),"Encerrado",IF(K167="","Sem data",IF(K167&lt;TODAY(),"Atrasado",IF(K167=TODAY(),"Hoje","Agendado")))))))</f>
        <v/>
      </c>
    </row>
    <row r="168" spans="1:19" ht="28" customHeight="1">
      <c r="A168" s="6"/>
      <c r="B168" s="6"/>
      <c r="C168" s="6"/>
      <c r="D168" s="6"/>
      <c r="E168" s="6"/>
      <c r="F168" s="6"/>
      <c r="G168" s="6"/>
      <c r="H168" s="6"/>
      <c r="I168" s="6"/>
      <c r="J168" s="7"/>
      <c r="K168" s="7"/>
      <c r="L168" s="6"/>
      <c r="M168" s="6"/>
      <c r="N168" s="8"/>
      <c r="O168" s="8"/>
      <c r="P168" s="7"/>
      <c r="Q168" s="6"/>
      <c r="R168" s="6"/>
      <c r="S168" s="9">
        <f>IF(A168="","",IF(M168="Não contatar","Não contatar",IF(OR(H168="Fechado",H168="Perdido"),"Encerrado",IF(K168="","Sem data",IF(K168&lt;TODAY(),"Atrasado",IF(K168=TODAY(),"Hoje","Agendado")))))))</f>
        <v/>
      </c>
    </row>
    <row r="169" spans="1:19" ht="28" customHeight="1">
      <c r="A169" s="6"/>
      <c r="B169" s="6"/>
      <c r="C169" s="6"/>
      <c r="D169" s="6"/>
      <c r="E169" s="6"/>
      <c r="F169" s="6"/>
      <c r="G169" s="6"/>
      <c r="H169" s="6"/>
      <c r="I169" s="6"/>
      <c r="J169" s="7"/>
      <c r="K169" s="7"/>
      <c r="L169" s="6"/>
      <c r="M169" s="6"/>
      <c r="N169" s="8"/>
      <c r="O169" s="8"/>
      <c r="P169" s="7"/>
      <c r="Q169" s="6"/>
      <c r="R169" s="6"/>
      <c r="S169" s="9">
        <f>IF(A169="","",IF(M169="Não contatar","Não contatar",IF(OR(H169="Fechado",H169="Perdido"),"Encerrado",IF(K169="","Sem data",IF(K169&lt;TODAY(),"Atrasado",IF(K169=TODAY(),"Hoje","Agendado")))))))</f>
        <v/>
      </c>
    </row>
    <row r="170" spans="1:19" ht="28" customHeight="1">
      <c r="A170" s="6"/>
      <c r="B170" s="6"/>
      <c r="C170" s="6"/>
      <c r="D170" s="6"/>
      <c r="E170" s="6"/>
      <c r="F170" s="6"/>
      <c r="G170" s="6"/>
      <c r="H170" s="6"/>
      <c r="I170" s="6"/>
      <c r="J170" s="7"/>
      <c r="K170" s="7"/>
      <c r="L170" s="6"/>
      <c r="M170" s="6"/>
      <c r="N170" s="8"/>
      <c r="O170" s="8"/>
      <c r="P170" s="7"/>
      <c r="Q170" s="6"/>
      <c r="R170" s="6"/>
      <c r="S170" s="9">
        <f>IF(A170="","",IF(M170="Não contatar","Não contatar",IF(OR(H170="Fechado",H170="Perdido"),"Encerrado",IF(K170="","Sem data",IF(K170&lt;TODAY(),"Atrasado",IF(K170=TODAY(),"Hoje","Agendado")))))))</f>
        <v/>
      </c>
    </row>
    <row r="171" spans="1:19" ht="28" customHeight="1">
      <c r="A171" s="6"/>
      <c r="B171" s="6"/>
      <c r="C171" s="6"/>
      <c r="D171" s="6"/>
      <c r="E171" s="6"/>
      <c r="F171" s="6"/>
      <c r="G171" s="6"/>
      <c r="H171" s="6"/>
      <c r="I171" s="6"/>
      <c r="J171" s="7"/>
      <c r="K171" s="7"/>
      <c r="L171" s="6"/>
      <c r="M171" s="6"/>
      <c r="N171" s="8"/>
      <c r="O171" s="8"/>
      <c r="P171" s="7"/>
      <c r="Q171" s="6"/>
      <c r="R171" s="6"/>
      <c r="S171" s="9">
        <f>IF(A171="","",IF(M171="Não contatar","Não contatar",IF(OR(H171="Fechado",H171="Perdido"),"Encerrado",IF(K171="","Sem data",IF(K171&lt;TODAY(),"Atrasado",IF(K171=TODAY(),"Hoje","Agendado")))))))</f>
        <v/>
      </c>
    </row>
    <row r="172" spans="1:19" ht="28" customHeight="1">
      <c r="A172" s="6"/>
      <c r="B172" s="6"/>
      <c r="C172" s="6"/>
      <c r="D172" s="6"/>
      <c r="E172" s="6"/>
      <c r="F172" s="6"/>
      <c r="G172" s="6"/>
      <c r="H172" s="6"/>
      <c r="I172" s="6"/>
      <c r="J172" s="7"/>
      <c r="K172" s="7"/>
      <c r="L172" s="6"/>
      <c r="M172" s="6"/>
      <c r="N172" s="8"/>
      <c r="O172" s="8"/>
      <c r="P172" s="7"/>
      <c r="Q172" s="6"/>
      <c r="R172" s="6"/>
      <c r="S172" s="9">
        <f>IF(A172="","",IF(M172="Não contatar","Não contatar",IF(OR(H172="Fechado",H172="Perdido"),"Encerrado",IF(K172="","Sem data",IF(K172&lt;TODAY(),"Atrasado",IF(K172=TODAY(),"Hoje","Agendado")))))))</f>
        <v/>
      </c>
    </row>
    <row r="173" spans="1:19" ht="28" customHeight="1">
      <c r="A173" s="6"/>
      <c r="B173" s="6"/>
      <c r="C173" s="6"/>
      <c r="D173" s="6"/>
      <c r="E173" s="6"/>
      <c r="F173" s="6"/>
      <c r="G173" s="6"/>
      <c r="H173" s="6"/>
      <c r="I173" s="6"/>
      <c r="J173" s="7"/>
      <c r="K173" s="7"/>
      <c r="L173" s="6"/>
      <c r="M173" s="6"/>
      <c r="N173" s="8"/>
      <c r="O173" s="8"/>
      <c r="P173" s="7"/>
      <c r="Q173" s="6"/>
      <c r="R173" s="6"/>
      <c r="S173" s="9">
        <f>IF(A173="","",IF(M173="Não contatar","Não contatar",IF(OR(H173="Fechado",H173="Perdido"),"Encerrado",IF(K173="","Sem data",IF(K173&lt;TODAY(),"Atrasado",IF(K173=TODAY(),"Hoje","Agendado")))))))</f>
        <v/>
      </c>
    </row>
    <row r="174" spans="1:19" ht="28" customHeight="1">
      <c r="A174" s="6"/>
      <c r="B174" s="6"/>
      <c r="C174" s="6"/>
      <c r="D174" s="6"/>
      <c r="E174" s="6"/>
      <c r="F174" s="6"/>
      <c r="G174" s="6"/>
      <c r="H174" s="6"/>
      <c r="I174" s="6"/>
      <c r="J174" s="7"/>
      <c r="K174" s="7"/>
      <c r="L174" s="6"/>
      <c r="M174" s="6"/>
      <c r="N174" s="8"/>
      <c r="O174" s="8"/>
      <c r="P174" s="7"/>
      <c r="Q174" s="6"/>
      <c r="R174" s="6"/>
      <c r="S174" s="9">
        <f>IF(A174="","",IF(M174="Não contatar","Não contatar",IF(OR(H174="Fechado",H174="Perdido"),"Encerrado",IF(K174="","Sem data",IF(K174&lt;TODAY(),"Atrasado",IF(K174=TODAY(),"Hoje","Agendado")))))))</f>
        <v/>
      </c>
    </row>
    <row r="175" spans="1:19" ht="28" customHeight="1">
      <c r="A175" s="6"/>
      <c r="B175" s="6"/>
      <c r="C175" s="6"/>
      <c r="D175" s="6"/>
      <c r="E175" s="6"/>
      <c r="F175" s="6"/>
      <c r="G175" s="6"/>
      <c r="H175" s="6"/>
      <c r="I175" s="6"/>
      <c r="J175" s="7"/>
      <c r="K175" s="7"/>
      <c r="L175" s="6"/>
      <c r="M175" s="6"/>
      <c r="N175" s="8"/>
      <c r="O175" s="8"/>
      <c r="P175" s="7"/>
      <c r="Q175" s="6"/>
      <c r="R175" s="6"/>
      <c r="S175" s="9">
        <f>IF(A175="","",IF(M175="Não contatar","Não contatar",IF(OR(H175="Fechado",H175="Perdido"),"Encerrado",IF(K175="","Sem data",IF(K175&lt;TODAY(),"Atrasado",IF(K175=TODAY(),"Hoje","Agendado")))))))</f>
        <v/>
      </c>
    </row>
    <row r="176" spans="1:19" ht="28" customHeight="1">
      <c r="A176" s="6"/>
      <c r="B176" s="6"/>
      <c r="C176" s="6"/>
      <c r="D176" s="6"/>
      <c r="E176" s="6"/>
      <c r="F176" s="6"/>
      <c r="G176" s="6"/>
      <c r="H176" s="6"/>
      <c r="I176" s="6"/>
      <c r="J176" s="7"/>
      <c r="K176" s="7"/>
      <c r="L176" s="6"/>
      <c r="M176" s="6"/>
      <c r="N176" s="8"/>
      <c r="O176" s="8"/>
      <c r="P176" s="7"/>
      <c r="Q176" s="6"/>
      <c r="R176" s="6"/>
      <c r="S176" s="9">
        <f>IF(A176="","",IF(M176="Não contatar","Não contatar",IF(OR(H176="Fechado",H176="Perdido"),"Encerrado",IF(K176="","Sem data",IF(K176&lt;TODAY(),"Atrasado",IF(K176=TODAY(),"Hoje","Agendado")))))))</f>
        <v/>
      </c>
    </row>
    <row r="177" spans="1:19" ht="28" customHeight="1">
      <c r="A177" s="6"/>
      <c r="B177" s="6"/>
      <c r="C177" s="6"/>
      <c r="D177" s="6"/>
      <c r="E177" s="6"/>
      <c r="F177" s="6"/>
      <c r="G177" s="6"/>
      <c r="H177" s="6"/>
      <c r="I177" s="6"/>
      <c r="J177" s="7"/>
      <c r="K177" s="7"/>
      <c r="L177" s="6"/>
      <c r="M177" s="6"/>
      <c r="N177" s="8"/>
      <c r="O177" s="8"/>
      <c r="P177" s="7"/>
      <c r="Q177" s="6"/>
      <c r="R177" s="6"/>
      <c r="S177" s="9">
        <f>IF(A177="","",IF(M177="Não contatar","Não contatar",IF(OR(H177="Fechado",H177="Perdido"),"Encerrado",IF(K177="","Sem data",IF(K177&lt;TODAY(),"Atrasado",IF(K177=TODAY(),"Hoje","Agendado")))))))</f>
        <v/>
      </c>
    </row>
    <row r="178" spans="1:19" ht="28" customHeight="1">
      <c r="A178" s="6"/>
      <c r="B178" s="6"/>
      <c r="C178" s="6"/>
      <c r="D178" s="6"/>
      <c r="E178" s="6"/>
      <c r="F178" s="6"/>
      <c r="G178" s="6"/>
      <c r="H178" s="6"/>
      <c r="I178" s="6"/>
      <c r="J178" s="7"/>
      <c r="K178" s="7"/>
      <c r="L178" s="6"/>
      <c r="M178" s="6"/>
      <c r="N178" s="8"/>
      <c r="O178" s="8"/>
      <c r="P178" s="7"/>
      <c r="Q178" s="6"/>
      <c r="R178" s="6"/>
      <c r="S178" s="9">
        <f>IF(A178="","",IF(M178="Não contatar","Não contatar",IF(OR(H178="Fechado",H178="Perdido"),"Encerrado",IF(K178="","Sem data",IF(K178&lt;TODAY(),"Atrasado",IF(K178=TODAY(),"Hoje","Agendado")))))))</f>
        <v/>
      </c>
    </row>
    <row r="179" spans="1:19" ht="28" customHeight="1">
      <c r="A179" s="6"/>
      <c r="B179" s="6"/>
      <c r="C179" s="6"/>
      <c r="D179" s="6"/>
      <c r="E179" s="6"/>
      <c r="F179" s="6"/>
      <c r="G179" s="6"/>
      <c r="H179" s="6"/>
      <c r="I179" s="6"/>
      <c r="J179" s="7"/>
      <c r="K179" s="7"/>
      <c r="L179" s="6"/>
      <c r="M179" s="6"/>
      <c r="N179" s="8"/>
      <c r="O179" s="8"/>
      <c r="P179" s="7"/>
      <c r="Q179" s="6"/>
      <c r="R179" s="6"/>
      <c r="S179" s="9">
        <f>IF(A179="","",IF(M179="Não contatar","Não contatar",IF(OR(H179="Fechado",H179="Perdido"),"Encerrado",IF(K179="","Sem data",IF(K179&lt;TODAY(),"Atrasado",IF(K179=TODAY(),"Hoje","Agendado")))))))</f>
        <v/>
      </c>
    </row>
    <row r="180" spans="1:19" ht="28" customHeight="1">
      <c r="A180" s="6"/>
      <c r="B180" s="6"/>
      <c r="C180" s="6"/>
      <c r="D180" s="6"/>
      <c r="E180" s="6"/>
      <c r="F180" s="6"/>
      <c r="G180" s="6"/>
      <c r="H180" s="6"/>
      <c r="I180" s="6"/>
      <c r="J180" s="7"/>
      <c r="K180" s="7"/>
      <c r="L180" s="6"/>
      <c r="M180" s="6"/>
      <c r="N180" s="8"/>
      <c r="O180" s="8"/>
      <c r="P180" s="7"/>
      <c r="Q180" s="6"/>
      <c r="R180" s="6"/>
      <c r="S180" s="9">
        <f>IF(A180="","",IF(M180="Não contatar","Não contatar",IF(OR(H180="Fechado",H180="Perdido"),"Encerrado",IF(K180="","Sem data",IF(K180&lt;TODAY(),"Atrasado",IF(K180=TODAY(),"Hoje","Agendado")))))))</f>
        <v/>
      </c>
    </row>
    <row r="181" spans="1:19" ht="28" customHeight="1">
      <c r="A181" s="6"/>
      <c r="B181" s="6"/>
      <c r="C181" s="6"/>
      <c r="D181" s="6"/>
      <c r="E181" s="6"/>
      <c r="F181" s="6"/>
      <c r="G181" s="6"/>
      <c r="H181" s="6"/>
      <c r="I181" s="6"/>
      <c r="J181" s="7"/>
      <c r="K181" s="7"/>
      <c r="L181" s="6"/>
      <c r="M181" s="6"/>
      <c r="N181" s="8"/>
      <c r="O181" s="8"/>
      <c r="P181" s="7"/>
      <c r="Q181" s="6"/>
      <c r="R181" s="6"/>
      <c r="S181" s="9">
        <f>IF(A181="","",IF(M181="Não contatar","Não contatar",IF(OR(H181="Fechado",H181="Perdido"),"Encerrado",IF(K181="","Sem data",IF(K181&lt;TODAY(),"Atrasado",IF(K181=TODAY(),"Hoje","Agendado")))))))</f>
        <v/>
      </c>
    </row>
    <row r="182" spans="1:19" ht="28" customHeight="1">
      <c r="A182" s="6"/>
      <c r="B182" s="6"/>
      <c r="C182" s="6"/>
      <c r="D182" s="6"/>
      <c r="E182" s="6"/>
      <c r="F182" s="6"/>
      <c r="G182" s="6"/>
      <c r="H182" s="6"/>
      <c r="I182" s="6"/>
      <c r="J182" s="7"/>
      <c r="K182" s="7"/>
      <c r="L182" s="6"/>
      <c r="M182" s="6"/>
      <c r="N182" s="8"/>
      <c r="O182" s="8"/>
      <c r="P182" s="7"/>
      <c r="Q182" s="6"/>
      <c r="R182" s="6"/>
      <c r="S182" s="9">
        <f>IF(A182="","",IF(M182="Não contatar","Não contatar",IF(OR(H182="Fechado",H182="Perdido"),"Encerrado",IF(K182="","Sem data",IF(K182&lt;TODAY(),"Atrasado",IF(K182=TODAY(),"Hoje","Agendado")))))))</f>
        <v/>
      </c>
    </row>
    <row r="183" spans="1:19" ht="28" customHeight="1">
      <c r="A183" s="6"/>
      <c r="B183" s="6"/>
      <c r="C183" s="6"/>
      <c r="D183" s="6"/>
      <c r="E183" s="6"/>
      <c r="F183" s="6"/>
      <c r="G183" s="6"/>
      <c r="H183" s="6"/>
      <c r="I183" s="6"/>
      <c r="J183" s="7"/>
      <c r="K183" s="7"/>
      <c r="L183" s="6"/>
      <c r="M183" s="6"/>
      <c r="N183" s="8"/>
      <c r="O183" s="8"/>
      <c r="P183" s="7"/>
      <c r="Q183" s="6"/>
      <c r="R183" s="6"/>
      <c r="S183" s="9">
        <f>IF(A183="","",IF(M183="Não contatar","Não contatar",IF(OR(H183="Fechado",H183="Perdido"),"Encerrado",IF(K183="","Sem data",IF(K183&lt;TODAY(),"Atrasado",IF(K183=TODAY(),"Hoje","Agendado")))))))</f>
        <v/>
      </c>
    </row>
    <row r="184" spans="1:19" ht="28" customHeight="1">
      <c r="A184" s="6"/>
      <c r="B184" s="6"/>
      <c r="C184" s="6"/>
      <c r="D184" s="6"/>
      <c r="E184" s="6"/>
      <c r="F184" s="6"/>
      <c r="G184" s="6"/>
      <c r="H184" s="6"/>
      <c r="I184" s="6"/>
      <c r="J184" s="7"/>
      <c r="K184" s="7"/>
      <c r="L184" s="6"/>
      <c r="M184" s="6"/>
      <c r="N184" s="8"/>
      <c r="O184" s="8"/>
      <c r="P184" s="7"/>
      <c r="Q184" s="6"/>
      <c r="R184" s="6"/>
      <c r="S184" s="9">
        <f>IF(A184="","",IF(M184="Não contatar","Não contatar",IF(OR(H184="Fechado",H184="Perdido"),"Encerrado",IF(K184="","Sem data",IF(K184&lt;TODAY(),"Atrasado",IF(K184=TODAY(),"Hoje","Agendado")))))))</f>
        <v/>
      </c>
    </row>
    <row r="185" spans="1:19" ht="28" customHeight="1">
      <c r="A185" s="6"/>
      <c r="B185" s="6"/>
      <c r="C185" s="6"/>
      <c r="D185" s="6"/>
      <c r="E185" s="6"/>
      <c r="F185" s="6"/>
      <c r="G185" s="6"/>
      <c r="H185" s="6"/>
      <c r="I185" s="6"/>
      <c r="J185" s="7"/>
      <c r="K185" s="7"/>
      <c r="L185" s="6"/>
      <c r="M185" s="6"/>
      <c r="N185" s="8"/>
      <c r="O185" s="8"/>
      <c r="P185" s="7"/>
      <c r="Q185" s="6"/>
      <c r="R185" s="6"/>
      <c r="S185" s="9">
        <f>IF(A185="","",IF(M185="Não contatar","Não contatar",IF(OR(H185="Fechado",H185="Perdido"),"Encerrado",IF(K185="","Sem data",IF(K185&lt;TODAY(),"Atrasado",IF(K185=TODAY(),"Hoje","Agendado")))))))</f>
        <v/>
      </c>
    </row>
    <row r="186" spans="1:19" ht="28" customHeight="1">
      <c r="A186" s="6"/>
      <c r="B186" s="6"/>
      <c r="C186" s="6"/>
      <c r="D186" s="6"/>
      <c r="E186" s="6"/>
      <c r="F186" s="6"/>
      <c r="G186" s="6"/>
      <c r="H186" s="6"/>
      <c r="I186" s="6"/>
      <c r="J186" s="7"/>
      <c r="K186" s="7"/>
      <c r="L186" s="6"/>
      <c r="M186" s="6"/>
      <c r="N186" s="8"/>
      <c r="O186" s="8"/>
      <c r="P186" s="7"/>
      <c r="Q186" s="6"/>
      <c r="R186" s="6"/>
      <c r="S186" s="9">
        <f>IF(A186="","",IF(M186="Não contatar","Não contatar",IF(OR(H186="Fechado",H186="Perdido"),"Encerrado",IF(K186="","Sem data",IF(K186&lt;TODAY(),"Atrasado",IF(K186=TODAY(),"Hoje","Agendado")))))))</f>
        <v/>
      </c>
    </row>
    <row r="187" spans="1:19" ht="28" customHeight="1">
      <c r="A187" s="6"/>
      <c r="B187" s="6"/>
      <c r="C187" s="6"/>
      <c r="D187" s="6"/>
      <c r="E187" s="6"/>
      <c r="F187" s="6"/>
      <c r="G187" s="6"/>
      <c r="H187" s="6"/>
      <c r="I187" s="6"/>
      <c r="J187" s="7"/>
      <c r="K187" s="7"/>
      <c r="L187" s="6"/>
      <c r="M187" s="6"/>
      <c r="N187" s="8"/>
      <c r="O187" s="8"/>
      <c r="P187" s="7"/>
      <c r="Q187" s="6"/>
      <c r="R187" s="6"/>
      <c r="S187" s="9">
        <f>IF(A187="","",IF(M187="Não contatar","Não contatar",IF(OR(H187="Fechado",H187="Perdido"),"Encerrado",IF(K187="","Sem data",IF(K187&lt;TODAY(),"Atrasado",IF(K187=TODAY(),"Hoje","Agendado")))))))</f>
        <v/>
      </c>
    </row>
    <row r="188" spans="1:19" ht="28" customHeight="1">
      <c r="A188" s="6"/>
      <c r="B188" s="6"/>
      <c r="C188" s="6"/>
      <c r="D188" s="6"/>
      <c r="E188" s="6"/>
      <c r="F188" s="6"/>
      <c r="G188" s="6"/>
      <c r="H188" s="6"/>
      <c r="I188" s="6"/>
      <c r="J188" s="7"/>
      <c r="K188" s="7"/>
      <c r="L188" s="6"/>
      <c r="M188" s="6"/>
      <c r="N188" s="8"/>
      <c r="O188" s="8"/>
      <c r="P188" s="7"/>
      <c r="Q188" s="6"/>
      <c r="R188" s="6"/>
      <c r="S188" s="9">
        <f>IF(A188="","",IF(M188="Não contatar","Não contatar",IF(OR(H188="Fechado",H188="Perdido"),"Encerrado",IF(K188="","Sem data",IF(K188&lt;TODAY(),"Atrasado",IF(K188=TODAY(),"Hoje","Agendado")))))))</f>
        <v/>
      </c>
    </row>
    <row r="189" spans="1:19" ht="28" customHeight="1">
      <c r="A189" s="6"/>
      <c r="B189" s="6"/>
      <c r="C189" s="6"/>
      <c r="D189" s="6"/>
      <c r="E189" s="6"/>
      <c r="F189" s="6"/>
      <c r="G189" s="6"/>
      <c r="H189" s="6"/>
      <c r="I189" s="6"/>
      <c r="J189" s="7"/>
      <c r="K189" s="7"/>
      <c r="L189" s="6"/>
      <c r="M189" s="6"/>
      <c r="N189" s="8"/>
      <c r="O189" s="8"/>
      <c r="P189" s="7"/>
      <c r="Q189" s="6"/>
      <c r="R189" s="6"/>
      <c r="S189" s="9">
        <f>IF(A189="","",IF(M189="Não contatar","Não contatar",IF(OR(H189="Fechado",H189="Perdido"),"Encerrado",IF(K189="","Sem data",IF(K189&lt;TODAY(),"Atrasado",IF(K189=TODAY(),"Hoje","Agendado")))))))</f>
        <v/>
      </c>
    </row>
    <row r="190" spans="1:19" ht="28" customHeight="1">
      <c r="A190" s="6"/>
      <c r="B190" s="6"/>
      <c r="C190" s="6"/>
      <c r="D190" s="6"/>
      <c r="E190" s="6"/>
      <c r="F190" s="6"/>
      <c r="G190" s="6"/>
      <c r="H190" s="6"/>
      <c r="I190" s="6"/>
      <c r="J190" s="7"/>
      <c r="K190" s="7"/>
      <c r="L190" s="6"/>
      <c r="M190" s="6"/>
      <c r="N190" s="8"/>
      <c r="O190" s="8"/>
      <c r="P190" s="7"/>
      <c r="Q190" s="6"/>
      <c r="R190" s="6"/>
      <c r="S190" s="9">
        <f>IF(A190="","",IF(M190="Não contatar","Não contatar",IF(OR(H190="Fechado",H190="Perdido"),"Encerrado",IF(K190="","Sem data",IF(K190&lt;TODAY(),"Atrasado",IF(K190=TODAY(),"Hoje","Agendado")))))))</f>
        <v/>
      </c>
    </row>
    <row r="191" spans="1:19" ht="28" customHeight="1">
      <c r="A191" s="6"/>
      <c r="B191" s="6"/>
      <c r="C191" s="6"/>
      <c r="D191" s="6"/>
      <c r="E191" s="6"/>
      <c r="F191" s="6"/>
      <c r="G191" s="6"/>
      <c r="H191" s="6"/>
      <c r="I191" s="6"/>
      <c r="J191" s="7"/>
      <c r="K191" s="7"/>
      <c r="L191" s="6"/>
      <c r="M191" s="6"/>
      <c r="N191" s="8"/>
      <c r="O191" s="8"/>
      <c r="P191" s="7"/>
      <c r="Q191" s="6"/>
      <c r="R191" s="6"/>
      <c r="S191" s="9">
        <f>IF(A191="","",IF(M191="Não contatar","Não contatar",IF(OR(H191="Fechado",H191="Perdido"),"Encerrado",IF(K191="","Sem data",IF(K191&lt;TODAY(),"Atrasado",IF(K191=TODAY(),"Hoje","Agendado")))))))</f>
        <v/>
      </c>
    </row>
    <row r="192" spans="1:19" ht="28" customHeight="1">
      <c r="A192" s="6"/>
      <c r="B192" s="6"/>
      <c r="C192" s="6"/>
      <c r="D192" s="6"/>
      <c r="E192" s="6"/>
      <c r="F192" s="6"/>
      <c r="G192" s="6"/>
      <c r="H192" s="6"/>
      <c r="I192" s="6"/>
      <c r="J192" s="7"/>
      <c r="K192" s="7"/>
      <c r="L192" s="6"/>
      <c r="M192" s="6"/>
      <c r="N192" s="8"/>
      <c r="O192" s="8"/>
      <c r="P192" s="7"/>
      <c r="Q192" s="6"/>
      <c r="R192" s="6"/>
      <c r="S192" s="9">
        <f>IF(A192="","",IF(M192="Não contatar","Não contatar",IF(OR(H192="Fechado",H192="Perdido"),"Encerrado",IF(K192="","Sem data",IF(K192&lt;TODAY(),"Atrasado",IF(K192=TODAY(),"Hoje","Agendado")))))))</f>
        <v/>
      </c>
    </row>
    <row r="193" spans="1:19" ht="28" customHeight="1">
      <c r="A193" s="6"/>
      <c r="B193" s="6"/>
      <c r="C193" s="6"/>
      <c r="D193" s="6"/>
      <c r="E193" s="6"/>
      <c r="F193" s="6"/>
      <c r="G193" s="6"/>
      <c r="H193" s="6"/>
      <c r="I193" s="6"/>
      <c r="J193" s="7"/>
      <c r="K193" s="7"/>
      <c r="L193" s="6"/>
      <c r="M193" s="6"/>
      <c r="N193" s="8"/>
      <c r="O193" s="8"/>
      <c r="P193" s="7"/>
      <c r="Q193" s="6"/>
      <c r="R193" s="6"/>
      <c r="S193" s="9">
        <f>IF(A193="","",IF(M193="Não contatar","Não contatar",IF(OR(H193="Fechado",H193="Perdido"),"Encerrado",IF(K193="","Sem data",IF(K193&lt;TODAY(),"Atrasado",IF(K193=TODAY(),"Hoje","Agendado")))))))</f>
        <v/>
      </c>
    </row>
    <row r="194" spans="1:19" ht="28" customHeight="1">
      <c r="A194" s="6"/>
      <c r="B194" s="6"/>
      <c r="C194" s="6"/>
      <c r="D194" s="6"/>
      <c r="E194" s="6"/>
      <c r="F194" s="6"/>
      <c r="G194" s="6"/>
      <c r="H194" s="6"/>
      <c r="I194" s="6"/>
      <c r="J194" s="7"/>
      <c r="K194" s="7"/>
      <c r="L194" s="6"/>
      <c r="M194" s="6"/>
      <c r="N194" s="8"/>
      <c r="O194" s="8"/>
      <c r="P194" s="7"/>
      <c r="Q194" s="6"/>
      <c r="R194" s="6"/>
      <c r="S194" s="9">
        <f>IF(A194="","",IF(M194="Não contatar","Não contatar",IF(OR(H194="Fechado",H194="Perdido"),"Encerrado",IF(K194="","Sem data",IF(K194&lt;TODAY(),"Atrasado",IF(K194=TODAY(),"Hoje","Agendado")))))))</f>
        <v/>
      </c>
    </row>
    <row r="195" spans="1:19" ht="28" customHeight="1">
      <c r="A195" s="6"/>
      <c r="B195" s="6"/>
      <c r="C195" s="6"/>
      <c r="D195" s="6"/>
      <c r="E195" s="6"/>
      <c r="F195" s="6"/>
      <c r="G195" s="6"/>
      <c r="H195" s="6"/>
      <c r="I195" s="6"/>
      <c r="J195" s="7"/>
      <c r="K195" s="7"/>
      <c r="L195" s="6"/>
      <c r="M195" s="6"/>
      <c r="N195" s="8"/>
      <c r="O195" s="8"/>
      <c r="P195" s="7"/>
      <c r="Q195" s="6"/>
      <c r="R195" s="6"/>
      <c r="S195" s="9">
        <f>IF(A195="","",IF(M195="Não contatar","Não contatar",IF(OR(H195="Fechado",H195="Perdido"),"Encerrado",IF(K195="","Sem data",IF(K195&lt;TODAY(),"Atrasado",IF(K195=TODAY(),"Hoje","Agendado")))))))</f>
        <v/>
      </c>
    </row>
    <row r="196" spans="1:19" ht="28" customHeight="1">
      <c r="A196" s="6"/>
      <c r="B196" s="6"/>
      <c r="C196" s="6"/>
      <c r="D196" s="6"/>
      <c r="E196" s="6"/>
      <c r="F196" s="6"/>
      <c r="G196" s="6"/>
      <c r="H196" s="6"/>
      <c r="I196" s="6"/>
      <c r="J196" s="7"/>
      <c r="K196" s="7"/>
      <c r="L196" s="6"/>
      <c r="M196" s="6"/>
      <c r="N196" s="8"/>
      <c r="O196" s="8"/>
      <c r="P196" s="7"/>
      <c r="Q196" s="6"/>
      <c r="R196" s="6"/>
      <c r="S196" s="9">
        <f>IF(A196="","",IF(M196="Não contatar","Não contatar",IF(OR(H196="Fechado",H196="Perdido"),"Encerrado",IF(K196="","Sem data",IF(K196&lt;TODAY(),"Atrasado",IF(K196=TODAY(),"Hoje","Agendado")))))))</f>
        <v/>
      </c>
    </row>
    <row r="197" spans="1:19" ht="28" customHeight="1">
      <c r="A197" s="6"/>
      <c r="B197" s="6"/>
      <c r="C197" s="6"/>
      <c r="D197" s="6"/>
      <c r="E197" s="6"/>
      <c r="F197" s="6"/>
      <c r="G197" s="6"/>
      <c r="H197" s="6"/>
      <c r="I197" s="6"/>
      <c r="J197" s="7"/>
      <c r="K197" s="7"/>
      <c r="L197" s="6"/>
      <c r="M197" s="6"/>
      <c r="N197" s="8"/>
      <c r="O197" s="8"/>
      <c r="P197" s="7"/>
      <c r="Q197" s="6"/>
      <c r="R197" s="6"/>
      <c r="S197" s="9">
        <f>IF(A197="","",IF(M197="Não contatar","Não contatar",IF(OR(H197="Fechado",H197="Perdido"),"Encerrado",IF(K197="","Sem data",IF(K197&lt;TODAY(),"Atrasado",IF(K197=TODAY(),"Hoje","Agendado")))))))</f>
        <v/>
      </c>
    </row>
    <row r="198" spans="1:19" ht="28" customHeight="1">
      <c r="A198" s="6"/>
      <c r="B198" s="6"/>
      <c r="C198" s="6"/>
      <c r="D198" s="6"/>
      <c r="E198" s="6"/>
      <c r="F198" s="6"/>
      <c r="G198" s="6"/>
      <c r="H198" s="6"/>
      <c r="I198" s="6"/>
      <c r="J198" s="7"/>
      <c r="K198" s="7"/>
      <c r="L198" s="6"/>
      <c r="M198" s="6"/>
      <c r="N198" s="8"/>
      <c r="O198" s="8"/>
      <c r="P198" s="7"/>
      <c r="Q198" s="6"/>
      <c r="R198" s="6"/>
      <c r="S198" s="9">
        <f>IF(A198="","",IF(M198="Não contatar","Não contatar",IF(OR(H198="Fechado",H198="Perdido"),"Encerrado",IF(K198="","Sem data",IF(K198&lt;TODAY(),"Atrasado",IF(K198=TODAY(),"Hoje","Agendado")))))))</f>
        <v/>
      </c>
    </row>
    <row r="199" spans="1:19" ht="28" customHeight="1">
      <c r="A199" s="6"/>
      <c r="B199" s="6"/>
      <c r="C199" s="6"/>
      <c r="D199" s="6"/>
      <c r="E199" s="6"/>
      <c r="F199" s="6"/>
      <c r="G199" s="6"/>
      <c r="H199" s="6"/>
      <c r="I199" s="6"/>
      <c r="J199" s="7"/>
      <c r="K199" s="7"/>
      <c r="L199" s="6"/>
      <c r="M199" s="6"/>
      <c r="N199" s="8"/>
      <c r="O199" s="8"/>
      <c r="P199" s="7"/>
      <c r="Q199" s="6"/>
      <c r="R199" s="6"/>
      <c r="S199" s="9">
        <f>IF(A199="","",IF(M199="Não contatar","Não contatar",IF(OR(H199="Fechado",H199="Perdido"),"Encerrado",IF(K199="","Sem data",IF(K199&lt;TODAY(),"Atrasado",IF(K199=TODAY(),"Hoje","Agendado")))))))</f>
        <v/>
      </c>
    </row>
    <row r="200" spans="1:19" ht="28" customHeight="1">
      <c r="A200" s="6"/>
      <c r="B200" s="6"/>
      <c r="C200" s="6"/>
      <c r="D200" s="6"/>
      <c r="E200" s="6"/>
      <c r="F200" s="6"/>
      <c r="G200" s="6"/>
      <c r="H200" s="6"/>
      <c r="I200" s="6"/>
      <c r="J200" s="7"/>
      <c r="K200" s="7"/>
      <c r="L200" s="6"/>
      <c r="M200" s="6"/>
      <c r="N200" s="8"/>
      <c r="O200" s="8"/>
      <c r="P200" s="7"/>
      <c r="Q200" s="6"/>
      <c r="R200" s="6"/>
      <c r="S200" s="9">
        <f>IF(A200="","",IF(M200="Não contatar","Não contatar",IF(OR(H200="Fechado",H200="Perdido"),"Encerrado",IF(K200="","Sem data",IF(K200&lt;TODAY(),"Atrasado",IF(K200=TODAY(),"Hoje","Agendado")))))))</f>
        <v/>
      </c>
    </row>
    <row r="201" spans="1:19" ht="28" customHeight="1">
      <c r="A201" s="6"/>
      <c r="B201" s="6"/>
      <c r="C201" s="6"/>
      <c r="D201" s="6"/>
      <c r="E201" s="6"/>
      <c r="F201" s="6"/>
      <c r="G201" s="6"/>
      <c r="H201" s="6"/>
      <c r="I201" s="6"/>
      <c r="J201" s="7"/>
      <c r="K201" s="7"/>
      <c r="L201" s="6"/>
      <c r="M201" s="6"/>
      <c r="N201" s="8"/>
      <c r="O201" s="8"/>
      <c r="P201" s="7"/>
      <c r="Q201" s="6"/>
      <c r="R201" s="6"/>
      <c r="S201" s="9">
        <f>IF(A201="","",IF(M201="Não contatar","Não contatar",IF(OR(H201="Fechado",H201="Perdido"),"Encerrado",IF(K201="","Sem data",IF(K201&lt;TODAY(),"Atrasado",IF(K201=TODAY(),"Hoje","Agendado")))))))</f>
        <v/>
      </c>
    </row>
    <row r="202" spans="1:19" ht="28" customHeight="1">
      <c r="A202" s="6"/>
      <c r="B202" s="6"/>
      <c r="C202" s="6"/>
      <c r="D202" s="6"/>
      <c r="E202" s="6"/>
      <c r="F202" s="6"/>
      <c r="G202" s="6"/>
      <c r="H202" s="6"/>
      <c r="I202" s="6"/>
      <c r="J202" s="7"/>
      <c r="K202" s="7"/>
      <c r="L202" s="6"/>
      <c r="M202" s="6"/>
      <c r="N202" s="8"/>
      <c r="O202" s="8"/>
      <c r="P202" s="7"/>
      <c r="Q202" s="6"/>
      <c r="R202" s="6"/>
      <c r="S202" s="9">
        <f>IF(A202="","",IF(M202="Não contatar","Não contatar",IF(OR(H202="Fechado",H202="Perdido"),"Encerrado",IF(K202="","Sem data",IF(K202&lt;TODAY(),"Atrasado",IF(K202=TODAY(),"Hoje","Agendado")))))))</f>
        <v/>
      </c>
    </row>
    <row r="203" spans="1:19" ht="28" customHeight="1">
      <c r="A203" s="6"/>
      <c r="B203" s="6"/>
      <c r="C203" s="6"/>
      <c r="D203" s="6"/>
      <c r="E203" s="6"/>
      <c r="F203" s="6"/>
      <c r="G203" s="6"/>
      <c r="H203" s="6"/>
      <c r="I203" s="6"/>
      <c r="J203" s="7"/>
      <c r="K203" s="7"/>
      <c r="L203" s="6"/>
      <c r="M203" s="6"/>
      <c r="N203" s="8"/>
      <c r="O203" s="8"/>
      <c r="P203" s="7"/>
      <c r="Q203" s="6"/>
      <c r="R203" s="6"/>
      <c r="S203" s="9">
        <f>IF(A203="","",IF(M203="Não contatar","Não contatar",IF(OR(H203="Fechado",H203="Perdido"),"Encerrado",IF(K203="","Sem data",IF(K203&lt;TODAY(),"Atrasado",IF(K203=TODAY(),"Hoje","Agendado")))))))</f>
        <v/>
      </c>
    </row>
    <row r="204" spans="1:19" ht="28" customHeight="1">
      <c r="A204" s="6"/>
      <c r="B204" s="6"/>
      <c r="C204" s="6"/>
      <c r="D204" s="6"/>
      <c r="E204" s="6"/>
      <c r="F204" s="6"/>
      <c r="G204" s="6"/>
      <c r="H204" s="6"/>
      <c r="I204" s="6"/>
      <c r="J204" s="7"/>
      <c r="K204" s="7"/>
      <c r="L204" s="6"/>
      <c r="M204" s="6"/>
      <c r="N204" s="8"/>
      <c r="O204" s="8"/>
      <c r="P204" s="7"/>
      <c r="Q204" s="6"/>
      <c r="R204" s="6"/>
      <c r="S204" s="9">
        <f>IF(A204="","",IF(M204="Não contatar","Não contatar",IF(OR(H204="Fechado",H204="Perdido"),"Encerrado",IF(K204="","Sem data",IF(K204&lt;TODAY(),"Atrasado",IF(K204=TODAY(),"Hoje","Agendado")))))))</f>
        <v/>
      </c>
    </row>
  </sheetData>
  <mergeCells count="2">
    <mergeCell ref="A1:S1"/>
    <mergeCell ref="A2:S2"/>
  </mergeCells>
  <conditionalFormatting sqref="H5:H204">
    <cfRule type="containsText" dxfId="6" priority="4" operator="containsText" text="Fechado">
      <formula>NOT(ISERROR(SEARCH("Fechado",H5)))</formula>
    </cfRule>
  </conditionalFormatting>
  <conditionalFormatting sqref="M5:M204">
    <cfRule type="containsText" dxfId="4" priority="3" operator="containsText" text="Não contatar">
      <formula>NOT(ISERROR(SEARCH("Não contatar",M5)))</formula>
    </cfRule>
  </conditionalFormatting>
  <conditionalFormatting sqref="S5:S204">
    <cfRule type="containsText" dxfId="4" priority="1" operator="containsText" text="Atrasado">
      <formula>NOT(ISERROR(SEARCH("Atrasado",S5)))</formula>
    </cfRule>
    <cfRule type="containsText" dxfId="5" priority="2" operator="containsText" text="Hoje">
      <formula>NOT(ISERROR(SEARCH("Hoje",S5)))</formula>
    </cfRule>
  </conditionalFormatting>
  <dataValidations count="9">
    <dataValidation type="list" allowBlank="1" showInputMessage="1" showErrorMessage="1" errorTitle="Selecione uma opção" error="Use uma das opções da lista." promptTitle="Escolha na lista" prompt="Clique na seta para selecionar." sqref="G5:G204">
      <formula1>Origens</formula1>
    </dataValidation>
    <dataValidation type="list" allowBlank="1" showInputMessage="1" showErrorMessage="1" errorTitle="Selecione uma opção" error="Use uma das opções da lista." promptTitle="Escolha na lista" prompt="Clique na seta para selecionar." sqref="H5:H204">
      <formula1>Etapas</formula1>
    </dataValidation>
    <dataValidation type="list" allowBlank="1" showInputMessage="1" showErrorMessage="1" errorTitle="Selecione uma opção" error="Use uma das opções da lista." promptTitle="Escolha na lista" prompt="Clique na seta para selecionar." sqref="M5:M204">
      <formula1>Preferencias</formula1>
    </dataValidation>
    <dataValidation type="list" allowBlank="1" showInputMessage="1" showErrorMessage="1" errorTitle="Selecione uma opção" error="Use uma das opções da lista." promptTitle="Escolha na lista" prompt="Clique na seta para selecionar." sqref="Q5:Q204">
      <formula1>Motivos</formula1>
    </dataValidation>
    <dataValidation type="date" allowBlank="1" showInputMessage="1" showErrorMessage="1" error="Informe uma data válida (dia/mês/ano)." sqref="J5:J204">
      <formula1>43831</formula1>
      <formula2>73415</formula2>
    </dataValidation>
    <dataValidation type="date" allowBlank="1" showInputMessage="1" showErrorMessage="1" error="Informe uma data válida (dia/mês/ano)." sqref="K5:K204">
      <formula1>43831</formula1>
      <formula2>73415</formula2>
    </dataValidation>
    <dataValidation type="date" allowBlank="1" showInputMessage="1" showErrorMessage="1" error="Informe uma data válida (dia/mês/ano)." sqref="P5:P204">
      <formula1>43831</formula1>
      <formula2>73415</formula2>
    </dataValidation>
    <dataValidation type="decimal" operator="greaterThanOrEqual" allowBlank="1" showInputMessage="1" showErrorMessage="1" error="Informe um valor igual ou maior que zero." sqref="N5:N204">
      <formula1>0</formula1>
    </dataValidation>
    <dataValidation type="decimal" operator="greaterThanOrEqual" allowBlank="1" showInputMessage="1" showErrorMessage="1" error="Informe um valor igual ou maior que zero." sqref="O5:O204">
      <formula1>0</formula1>
    </dataValidation>
  </dataValidations>
  <pageMargins left="0.7" right="0.7" top="0.75" bottom="0.75" header="0.3" footer="0.3"/>
  <pageSetup paperSize="8" fitToHeight="0"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sheetData>
    <row r="1" spans="1:4">
      <c r="A1" t="s">
        <v>37</v>
      </c>
      <c r="B1" t="s">
        <v>46</v>
      </c>
      <c r="C1" t="s">
        <v>54</v>
      </c>
      <c r="D1" t="s">
        <v>57</v>
      </c>
    </row>
    <row r="2" spans="1:4">
      <c r="A2" t="s">
        <v>38</v>
      </c>
      <c r="B2" t="s">
        <v>47</v>
      </c>
      <c r="C2" t="s">
        <v>55</v>
      </c>
      <c r="D2" t="s">
        <v>58</v>
      </c>
    </row>
    <row r="3" spans="1:4">
      <c r="A3" t="s">
        <v>39</v>
      </c>
      <c r="B3" t="s">
        <v>48</v>
      </c>
      <c r="C3" t="s">
        <v>56</v>
      </c>
      <c r="D3" t="s">
        <v>59</v>
      </c>
    </row>
    <row r="4" spans="1:4">
      <c r="A4" t="s">
        <v>40</v>
      </c>
      <c r="B4" t="s">
        <v>49</v>
      </c>
      <c r="D4" t="s">
        <v>60</v>
      </c>
    </row>
    <row r="5" spans="1:4">
      <c r="A5" t="s">
        <v>41</v>
      </c>
      <c r="B5" t="s">
        <v>50</v>
      </c>
      <c r="D5" t="s">
        <v>61</v>
      </c>
    </row>
    <row r="6" spans="1:4">
      <c r="A6" t="s">
        <v>42</v>
      </c>
      <c r="B6" t="s">
        <v>51</v>
      </c>
      <c r="D6" t="s">
        <v>53</v>
      </c>
    </row>
    <row r="7" spans="1:4">
      <c r="A7" t="s">
        <v>43</v>
      </c>
      <c r="B7" t="s">
        <v>52</v>
      </c>
    </row>
    <row r="8" spans="1:4">
      <c r="A8" t="s">
        <v>44</v>
      </c>
      <c r="B8" t="s">
        <v>53</v>
      </c>
    </row>
    <row r="9" spans="1:4">
      <c r="A9" t="s">
        <v>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A17E68"/>
    <pageSetUpPr fitToPage="1"/>
  </sheetPr>
  <dimension ref="B2:M35"/>
  <sheetViews>
    <sheetView showGridLines="0" workbookViewId="0"/>
  </sheetViews>
  <sheetFormatPr defaultRowHeight="15"/>
  <cols>
    <col min="1" max="1" width="3.7109375" customWidth="1"/>
    <col min="2" max="13" width="12.7109375" customWidth="1"/>
  </cols>
  <sheetData>
    <row r="2" spans="2:13">
      <c r="B2" s="1" t="s">
        <v>62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2:1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5" spans="2:13">
      <c r="B5" s="2" t="s">
        <v>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7" spans="2:13">
      <c r="B7" s="10" t="s">
        <v>64</v>
      </c>
      <c r="C7" s="10"/>
      <c r="D7" s="10"/>
      <c r="E7" s="10"/>
      <c r="F7" s="10" t="s">
        <v>65</v>
      </c>
      <c r="G7" s="10"/>
      <c r="H7" s="10"/>
      <c r="I7" s="10"/>
      <c r="J7" s="10" t="s">
        <v>66</v>
      </c>
      <c r="K7" s="10"/>
      <c r="L7" s="10"/>
      <c r="M7" s="10"/>
    </row>
    <row r="8" spans="2:13">
      <c r="B8" s="11">
        <f>COUNTA(CRM!A5:A204)</f>
        <v>0</v>
      </c>
      <c r="C8" s="11"/>
      <c r="D8" s="11"/>
      <c r="E8" s="11"/>
      <c r="F8" s="11">
        <f>COUNTIF(CRM!S5:S204,"Atrasado")</f>
        <v>0</v>
      </c>
      <c r="G8" s="11"/>
      <c r="H8" s="11"/>
      <c r="I8" s="11"/>
      <c r="J8" s="11">
        <f>COUNTIF(CRM!S5:S204,"Hoje")</f>
        <v>0</v>
      </c>
      <c r="K8" s="11"/>
      <c r="L8" s="11"/>
      <c r="M8" s="11"/>
    </row>
    <row r="9" spans="2:13"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</row>
    <row r="11" spans="2:13">
      <c r="B11" s="10" t="s">
        <v>67</v>
      </c>
      <c r="C11" s="10"/>
      <c r="D11" s="10"/>
      <c r="E11" s="10"/>
      <c r="F11" s="10" t="s">
        <v>68</v>
      </c>
      <c r="G11" s="10"/>
      <c r="H11" s="10"/>
      <c r="I11" s="10"/>
      <c r="J11" s="10" t="s">
        <v>69</v>
      </c>
      <c r="K11" s="10"/>
      <c r="L11" s="10"/>
      <c r="M11" s="10"/>
    </row>
    <row r="12" spans="2:13">
      <c r="B12" s="11">
        <f>COUNTIFS(CRM!A5:A204,"&lt;&gt;",CRM!H5:H204,"Fechado")</f>
        <v>0</v>
      </c>
      <c r="C12" s="11"/>
      <c r="D12" s="11"/>
      <c r="E12" s="11"/>
      <c r="F12" s="12">
        <f>SUMIFS(CRM!N5:N204,CRM!A5:A204,"&lt;&gt;",CRM!H5:H204,"Fechado")</f>
        <v>0</v>
      </c>
      <c r="G12" s="12"/>
      <c r="H12" s="12"/>
      <c r="I12" s="12"/>
      <c r="J12" s="12">
        <f>SUMIFS(CRM!O5:O204,CRM!A5:A204,"&lt;&gt;",CRM!H5:H204,"Fechado")</f>
        <v>0</v>
      </c>
      <c r="K12" s="12"/>
      <c r="L12" s="12"/>
      <c r="M12" s="12"/>
    </row>
    <row r="13" spans="2:13">
      <c r="B13" s="11"/>
      <c r="C13" s="11"/>
      <c r="D13" s="11"/>
      <c r="E13" s="11"/>
      <c r="F13" s="12"/>
      <c r="G13" s="12"/>
      <c r="H13" s="12"/>
      <c r="I13" s="12"/>
      <c r="J13" s="12"/>
      <c r="K13" s="12"/>
      <c r="L13" s="12"/>
      <c r="M13" s="12"/>
    </row>
    <row r="16" spans="2:13">
      <c r="B16" s="3" t="s">
        <v>70</v>
      </c>
      <c r="C16" s="3"/>
      <c r="D16" s="3"/>
      <c r="E16" s="3"/>
    </row>
    <row r="17" spans="2:5">
      <c r="B17" s="3" t="s">
        <v>25</v>
      </c>
      <c r="E17" s="3" t="s">
        <v>71</v>
      </c>
    </row>
    <row r="18" spans="2:5">
      <c r="B18" s="4" t="s">
        <v>37</v>
      </c>
      <c r="C18" s="4"/>
      <c r="D18" s="4"/>
      <c r="E18" s="13">
        <f>COUNTIFS(CRM!A5:A204,"&lt;&gt;",CRM!H5:H204,B18)</f>
        <v>0</v>
      </c>
    </row>
    <row r="19" spans="2:5">
      <c r="B19" s="4" t="s">
        <v>38</v>
      </c>
      <c r="C19" s="4"/>
      <c r="D19" s="4"/>
      <c r="E19" s="13">
        <f>COUNTIFS(CRM!A5:A204,"&lt;&gt;",CRM!H5:H204,B19)</f>
        <v>0</v>
      </c>
    </row>
    <row r="20" spans="2:5">
      <c r="B20" s="4" t="s">
        <v>39</v>
      </c>
      <c r="C20" s="4"/>
      <c r="D20" s="4"/>
      <c r="E20" s="13">
        <f>COUNTIFS(CRM!A5:A204,"&lt;&gt;",CRM!H5:H204,B20)</f>
        <v>0</v>
      </c>
    </row>
    <row r="21" spans="2:5">
      <c r="B21" s="4" t="s">
        <v>40</v>
      </c>
      <c r="C21" s="4"/>
      <c r="D21" s="4"/>
      <c r="E21" s="13">
        <f>COUNTIFS(CRM!A5:A204,"&lt;&gt;",CRM!H5:H204,B21)</f>
        <v>0</v>
      </c>
    </row>
    <row r="22" spans="2:5">
      <c r="B22" s="4" t="s">
        <v>41</v>
      </c>
      <c r="C22" s="4"/>
      <c r="D22" s="4"/>
      <c r="E22" s="13">
        <f>COUNTIFS(CRM!A5:A204,"&lt;&gt;",CRM!H5:H204,B22)</f>
        <v>0</v>
      </c>
    </row>
    <row r="23" spans="2:5">
      <c r="B23" s="4" t="s">
        <v>42</v>
      </c>
      <c r="C23" s="4"/>
      <c r="D23" s="4"/>
      <c r="E23" s="13">
        <f>COUNTIFS(CRM!A5:A204,"&lt;&gt;",CRM!H5:H204,B23)</f>
        <v>0</v>
      </c>
    </row>
    <row r="24" spans="2:5">
      <c r="B24" s="4" t="s">
        <v>43</v>
      </c>
      <c r="C24" s="4"/>
      <c r="D24" s="4"/>
      <c r="E24" s="13">
        <f>COUNTIFS(CRM!A5:A204,"&lt;&gt;",CRM!H5:H204,B24)</f>
        <v>0</v>
      </c>
    </row>
    <row r="25" spans="2:5">
      <c r="B25" s="4" t="s">
        <v>44</v>
      </c>
      <c r="C25" s="4"/>
      <c r="D25" s="4"/>
      <c r="E25" s="13">
        <f>COUNTIFS(CRM!A5:A204,"&lt;&gt;",CRM!H5:H204,B25)</f>
        <v>0</v>
      </c>
    </row>
    <row r="26" spans="2:5">
      <c r="B26" s="4" t="s">
        <v>45</v>
      </c>
      <c r="C26" s="4"/>
      <c r="D26" s="4"/>
      <c r="E26" s="13">
        <f>COUNTIFS(CRM!A5:A204,"&lt;&gt;",CRM!H5:H204,B26)</f>
        <v>0</v>
      </c>
    </row>
    <row r="29" spans="2:5">
      <c r="B29" s="10" t="s">
        <v>72</v>
      </c>
      <c r="C29" s="10"/>
      <c r="D29" s="10"/>
      <c r="E29" s="10"/>
    </row>
    <row r="30" spans="2:5">
      <c r="B30" s="12">
        <f>SUMIFS(CRM!N5:N204,CRM!A5:A204,"&lt;&gt;",CRM!H5:H204,"Proposta enviada")+SUMIFS(CRM!N5:N204,CRM!A5:A204,"&lt;&gt;",CRM!H5:H204,"Negociação")</f>
        <v>0</v>
      </c>
      <c r="C30" s="12"/>
      <c r="D30" s="12"/>
      <c r="E30" s="12"/>
    </row>
    <row r="31" spans="2:5">
      <c r="B31" s="12"/>
      <c r="C31" s="12"/>
      <c r="D31" s="12"/>
      <c r="E31" s="12"/>
    </row>
    <row r="33" spans="2:13">
      <c r="B33" s="5" t="s">
        <v>73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2:1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</row>
    <row r="35" spans="2:13"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</row>
  </sheetData>
  <mergeCells count="27">
    <mergeCell ref="B2:M3"/>
    <mergeCell ref="B5:M5"/>
    <mergeCell ref="B7:E7"/>
    <mergeCell ref="B8:E9"/>
    <mergeCell ref="F7:I7"/>
    <mergeCell ref="F8:I9"/>
    <mergeCell ref="J7:M7"/>
    <mergeCell ref="J8:M9"/>
    <mergeCell ref="B11:E11"/>
    <mergeCell ref="B12:E13"/>
    <mergeCell ref="F11:I11"/>
    <mergeCell ref="F12:I13"/>
    <mergeCell ref="J11:M11"/>
    <mergeCell ref="J12:M13"/>
    <mergeCell ref="B16:E16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9:E29"/>
    <mergeCell ref="B30:E31"/>
    <mergeCell ref="B33:M35"/>
  </mergeCells>
  <pageMargins left="0.7" right="0.7" top="0.75" bottom="0.75" header="0.3" footer="0.3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S7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28.7109375" customWidth="1"/>
    <col min="2" max="2" width="20.7109375" customWidth="1"/>
    <col min="3" max="3" width="23.7109375" customWidth="1"/>
    <col min="4" max="4" width="24.7109375" customWidth="1"/>
    <col min="5" max="5" width="31.7109375" customWidth="1"/>
    <col min="6" max="6" width="32.7109375" customWidth="1"/>
    <col min="7" max="7" width="18.7109375" customWidth="1"/>
    <col min="8" max="8" width="25.7109375" customWidth="1"/>
    <col min="9" max="9" width="42.7109375" customWidth="1"/>
    <col min="10" max="11" width="17.7109375" customWidth="1"/>
    <col min="12" max="12" width="42.7109375" customWidth="1"/>
    <col min="13" max="13" width="23.7109375" customWidth="1"/>
    <col min="14" max="14" width="24.7109375" customWidth="1"/>
    <col min="15" max="15" width="25.7109375" customWidth="1"/>
    <col min="16" max="16" width="19.7109375" customWidth="1"/>
    <col min="17" max="17" width="22.7109375" customWidth="1"/>
    <col min="18" max="18" width="45.7109375" customWidth="1"/>
    <col min="19" max="19" width="22.7109375" customWidth="1"/>
  </cols>
  <sheetData>
    <row r="1" spans="1:19" ht="44" customHeight="1">
      <c r="A1" s="1" t="s">
        <v>74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32" customHeight="1">
      <c r="A2" s="2" t="s">
        <v>75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spans="1:19" ht="44" customHeight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30</v>
      </c>
      <c r="N4" t="s">
        <v>31</v>
      </c>
      <c r="O4" t="s">
        <v>32</v>
      </c>
      <c r="P4" t="s">
        <v>33</v>
      </c>
      <c r="Q4" t="s">
        <v>34</v>
      </c>
      <c r="R4" t="s">
        <v>35</v>
      </c>
      <c r="S4" t="s">
        <v>36</v>
      </c>
    </row>
    <row r="5" spans="1:19" ht="60" customHeight="1">
      <c r="A5" s="4" t="s">
        <v>76</v>
      </c>
      <c r="B5" s="4" t="s">
        <v>77</v>
      </c>
      <c r="C5" s="4" t="s">
        <v>78</v>
      </c>
      <c r="D5" s="4"/>
      <c r="E5" s="4"/>
      <c r="F5" s="4"/>
      <c r="G5" s="4" t="s">
        <v>47</v>
      </c>
      <c r="H5" s="4" t="s">
        <v>40</v>
      </c>
      <c r="I5" s="4" t="s">
        <v>79</v>
      </c>
      <c r="J5" s="7">
        <v>46302</v>
      </c>
      <c r="K5" s="7">
        <v>46303</v>
      </c>
      <c r="L5" s="4" t="s">
        <v>80</v>
      </c>
      <c r="M5" s="4" t="s">
        <v>55</v>
      </c>
      <c r="N5" s="8">
        <v>3490</v>
      </c>
      <c r="O5" s="8">
        <v>397</v>
      </c>
      <c r="P5" s="7"/>
      <c r="Q5" s="4"/>
      <c r="R5" s="4" t="s">
        <v>81</v>
      </c>
      <c r="S5" s="4" t="s">
        <v>82</v>
      </c>
    </row>
    <row r="6" spans="1:19" ht="60" customHeight="1">
      <c r="A6" s="4" t="s">
        <v>83</v>
      </c>
      <c r="B6" s="4" t="s">
        <v>84</v>
      </c>
      <c r="C6" s="4" t="s">
        <v>78</v>
      </c>
      <c r="D6" s="4"/>
      <c r="E6" s="4"/>
      <c r="F6" s="4"/>
      <c r="G6" s="4" t="s">
        <v>48</v>
      </c>
      <c r="H6" s="4" t="s">
        <v>41</v>
      </c>
      <c r="I6" s="4" t="s">
        <v>85</v>
      </c>
      <c r="J6" s="7">
        <v>46300</v>
      </c>
      <c r="K6" s="7">
        <v>46302</v>
      </c>
      <c r="L6" s="4" t="s">
        <v>86</v>
      </c>
      <c r="M6" s="4" t="s">
        <v>55</v>
      </c>
      <c r="N6" s="8">
        <v>3490</v>
      </c>
      <c r="O6" s="8">
        <v>397</v>
      </c>
      <c r="P6" s="7"/>
      <c r="Q6" s="4"/>
      <c r="R6" s="4" t="s">
        <v>87</v>
      </c>
      <c r="S6" s="4" t="s">
        <v>88</v>
      </c>
    </row>
    <row r="7" spans="1:19" ht="60" customHeight="1">
      <c r="A7" s="4" t="s">
        <v>89</v>
      </c>
      <c r="B7" s="4" t="s">
        <v>90</v>
      </c>
      <c r="C7" s="4" t="s">
        <v>78</v>
      </c>
      <c r="D7" s="4"/>
      <c r="E7" s="4"/>
      <c r="F7" s="4"/>
      <c r="G7" s="4" t="s">
        <v>46</v>
      </c>
      <c r="H7" s="4" t="s">
        <v>44</v>
      </c>
      <c r="I7" s="4" t="s">
        <v>91</v>
      </c>
      <c r="J7" s="7">
        <v>46302</v>
      </c>
      <c r="K7" s="7"/>
      <c r="L7" s="4" t="s">
        <v>92</v>
      </c>
      <c r="M7" s="4" t="s">
        <v>56</v>
      </c>
      <c r="N7" s="8"/>
      <c r="O7" s="8"/>
      <c r="P7" s="7"/>
      <c r="Q7" s="4" t="s">
        <v>61</v>
      </c>
      <c r="R7" s="4" t="s">
        <v>93</v>
      </c>
      <c r="S7" s="4" t="s">
        <v>56</v>
      </c>
    </row>
  </sheetData>
  <mergeCells count="2">
    <mergeCell ref="A1:S1"/>
    <mergeCell ref="A2:S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Comece aqui</vt:lpstr>
      <vt:lpstr>CRM</vt:lpstr>
      <vt:lpstr>Listas</vt:lpstr>
      <vt:lpstr>Resumo</vt:lpstr>
      <vt:lpstr>Exemplo fictício</vt:lpstr>
      <vt:lpstr>Etapas</vt:lpstr>
      <vt:lpstr>Motivos</vt:lpstr>
      <vt:lpstr>Origens</vt:lpstr>
      <vt:lpstr>Preferencias</vt:lpstr>
      <vt:lpstr>'Comece aqui'!Print_Area</vt:lpstr>
      <vt:lpstr>Resumo!Print_Area</vt:lpstr>
      <vt:lpstr>CRM!Print_Titles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CRM comercial para clínicas de estética</dc:title>
  <dc:subject>Prospecção, propostas e acompanhamento de vendas</dc:subject>
  <dc:creator>Quartier</dc:creator>
  <dc:description>Modelo editável. Exemplos fictícios separados da base real.</dc:description>
  <cp:lastModifiedBy>Quartier</cp:lastModifiedBy>
  <dcterms:created xsi:type="dcterms:W3CDTF">2026-10-07T21:43:28Z</dcterms:created>
  <dcterms:modified xsi:type="dcterms:W3CDTF">2026-10-07T21:43:28Z</dcterms:modified>
</cp:coreProperties>
</file>