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omece aqui" sheetId="1" state="visible" r:id="rId1"/>
    <sheet xmlns:r="http://schemas.openxmlformats.org/officeDocument/2006/relationships" name="CRM" sheetId="2" state="visible" r:id="rId2"/>
    <sheet xmlns:r="http://schemas.openxmlformats.org/officeDocument/2006/relationships" name="Listas" sheetId="3" state="hidden" r:id="rId3"/>
    <sheet xmlns:r="http://schemas.openxmlformats.org/officeDocument/2006/relationships" name="Resumo" sheetId="4" state="visible" r:id="rId4"/>
    <sheet xmlns:r="http://schemas.openxmlformats.org/officeDocument/2006/relationships" name="Exemplo fictício" sheetId="5" state="visible" r:id="rId5"/>
    <sheet xmlns:r="http://schemas.openxmlformats.org/officeDocument/2006/relationships" name="Critérios das notas" sheetId="6" state="visible" r:id="rId6"/>
    <sheet xmlns:r="http://schemas.openxmlformats.org/officeDocument/2006/relationships" name="Mapa do segmento" sheetId="7" state="visible" r:id="rId7"/>
  </sheets>
  <definedNames>
    <definedName name="Etapas">Listas!$A$1:$A$9</definedName>
    <definedName name="Motivos">Listas!$D$1:$D$6</definedName>
    <definedName name="Origens">Listas!$B$1:$B$8</definedName>
    <definedName name="Preferencias">Listas!$C$1:$C$3</definedName>
    <definedName name="Proprietarios">'Listas'!$F$1:$F$3</definedName>
    <definedName name="_xlnm.Print_Area" localSheetId="0">'Comece aqui'!$B$2:$H$42</definedName>
    <definedName name="_xlnm.Print_Titles" localSheetId="1">'CRM'!$4:$4</definedName>
    <definedName name="_xlnm.Print_Area" localSheetId="3">'Resumo'!$B$2:$M$35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&quot;R$&quot; #,##0.00"/>
  </numFmts>
  <fonts count="17">
    <font>
      <name val="Calibri"/>
      <family val="2"/>
      <color theme="1"/>
      <sz val="11"/>
      <scheme val="minor"/>
    </font>
    <font>
      <name val="Calibri"/>
      <family val="2"/>
      <b val="1"/>
      <color rgb="FF293E38"/>
      <sz val="24"/>
      <scheme val="minor"/>
    </font>
    <font>
      <name val="Calibri"/>
      <family val="2"/>
      <color rgb="FF697570"/>
      <sz val="12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293E38"/>
      <sz val="11"/>
      <scheme val="minor"/>
    </font>
    <font>
      <name val="Calibri"/>
      <family val="2"/>
      <color rgb="FF697570"/>
      <sz val="10"/>
      <scheme val="minor"/>
    </font>
    <font>
      <name val="Calibri"/>
      <family val="2"/>
      <color rgb="FF1B5676"/>
      <sz val="11"/>
      <scheme val="minor"/>
    </font>
    <font>
      <name val="Calibri"/>
      <family val="2"/>
      <b val="1"/>
      <color rgb="FF697570"/>
      <sz val="11"/>
      <scheme val="minor"/>
    </font>
    <font>
      <name val="Calibri"/>
      <family val="2"/>
      <b val="1"/>
      <color rgb="FF293E38"/>
      <sz val="22"/>
      <scheme val="minor"/>
    </font>
    <font>
      <name val="Calibri"/>
      <b val="1"/>
      <color rgb="00FFFFFF"/>
    </font>
    <font>
      <name val="Calibri"/>
      <color rgb="001B5676"/>
      <sz val="11"/>
    </font>
    <font>
      <b val="1"/>
      <color rgb="00293E38"/>
      <sz val="17"/>
    </font>
    <font>
      <name val="Calibri"/>
      <color rgb="00293E38"/>
    </font>
    <font>
      <name val="Calibri"/>
      <color rgb="00293E38"/>
      <sz val="11"/>
    </font>
    <font>
      <name val="Calibri"/>
      <b val="1"/>
      <color rgb="00293E38"/>
      <sz val="11"/>
    </font>
    <font>
      <name val="Calibri"/>
      <b val="1"/>
      <color rgb="00FFFFFF"/>
      <sz val="11"/>
    </font>
    <font>
      <name val="Calibri"/>
      <color rgb="001B5676"/>
    </font>
  </fonts>
  <fills count="9">
    <fill>
      <patternFill/>
    </fill>
    <fill>
      <patternFill patternType="gray125"/>
    </fill>
    <fill>
      <patternFill patternType="solid">
        <fgColor rgb="FFF7F3EF"/>
        <bgColor indexed="64"/>
      </patternFill>
    </fill>
    <fill>
      <patternFill patternType="solid">
        <fgColor rgb="FF293E38"/>
        <bgColor indexed="64"/>
      </patternFill>
    </fill>
    <fill>
      <patternFill patternType="solid">
        <fgColor rgb="FFE6ECE6"/>
        <bgColor indexed="64"/>
      </patternFill>
    </fill>
    <fill>
      <patternFill patternType="solid">
        <fgColor rgb="00293E38"/>
      </patternFill>
    </fill>
    <fill>
      <patternFill patternType="solid">
        <fgColor rgb="00F7F3EF"/>
      </patternFill>
    </fill>
    <fill>
      <patternFill patternType="solid">
        <fgColor rgb="00E6ECE6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wrapText="1"/>
    </xf>
    <xf numFmtId="0" fontId="6" fillId="0" borderId="0" applyAlignment="1" pivotButton="0" quotePrefix="0" xfId="0">
      <alignment vertical="top"/>
    </xf>
    <xf numFmtId="164" fontId="6" fillId="0" borderId="0" applyAlignment="1" pivotButton="0" quotePrefix="0" xfId="0">
      <alignment vertical="top"/>
    </xf>
    <xf numFmtId="165" fontId="6" fillId="0" borderId="0" applyAlignment="1" pivotButton="0" quotePrefix="0" xfId="0">
      <alignment vertical="top"/>
    </xf>
    <xf numFmtId="0" fontId="4" fillId="4" borderId="0" applyAlignment="1" pivotButton="0" quotePrefix="0" xfId="0">
      <alignment vertical="top"/>
    </xf>
    <xf numFmtId="0" fontId="7" fillId="4" borderId="0" pivotButton="0" quotePrefix="0" xfId="0"/>
    <xf numFmtId="0" fontId="1" fillId="4" borderId="0" pivotButton="0" quotePrefix="0" xfId="0"/>
    <xf numFmtId="165" fontId="8" fillId="4" borderId="0" pivotButton="0" quotePrefix="0" xfId="0"/>
    <xf numFmtId="1" fontId="4" fillId="0" borderId="0" pivotButton="0" quotePrefix="0" xfId="0"/>
    <xf numFmtId="0" fontId="13" fillId="0" borderId="0" applyAlignment="1" pivotButton="0" quotePrefix="0" xfId="0">
      <alignment vertical="top" wrapText="1"/>
    </xf>
    <xf numFmtId="0" fontId="11" fillId="6" borderId="0" pivotButton="0" quotePrefix="0" xfId="0"/>
    <xf numFmtId="0" fontId="0" fillId="0" borderId="0" applyAlignment="1" pivotButton="0" quotePrefix="0" xfId="0">
      <alignment wrapText="1"/>
    </xf>
    <xf numFmtId="0" fontId="9" fillId="5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top"/>
    </xf>
    <xf numFmtId="164" fontId="10" fillId="0" borderId="0" applyAlignment="1" pivotButton="0" quotePrefix="0" xfId="0">
      <alignment vertical="top"/>
    </xf>
    <xf numFmtId="1" fontId="10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 wrapText="1"/>
    </xf>
    <xf numFmtId="0" fontId="12" fillId="7" borderId="0" applyAlignment="1" pivotButton="0" quotePrefix="0" xfId="0">
      <alignment vertical="top"/>
    </xf>
    <xf numFmtId="0" fontId="14" fillId="7" borderId="0" applyAlignment="1" pivotButton="0" quotePrefix="0" xfId="0">
      <alignment vertical="top" wrapText="1"/>
    </xf>
    <xf numFmtId="0" fontId="13" fillId="7" borderId="0" applyAlignment="1" pivotButton="0" quotePrefix="0" xfId="0">
      <alignment vertical="top" wrapText="1"/>
    </xf>
    <xf numFmtId="0" fontId="14" fillId="8" borderId="0" applyAlignment="1" pivotButton="0" quotePrefix="0" xfId="0">
      <alignment vertical="top" wrapText="1"/>
    </xf>
    <xf numFmtId="0" fontId="13" fillId="8" borderId="0" applyAlignment="1" pivotButton="0" quotePrefix="0" xfId="0">
      <alignment vertical="top" wrapText="1"/>
    </xf>
    <xf numFmtId="0" fontId="15" fillId="5" borderId="0" applyAlignment="1" pivotButton="0" quotePrefix="0" xfId="0">
      <alignment vertical="top" wrapText="1"/>
    </xf>
    <xf numFmtId="0" fontId="13" fillId="6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  <xf numFmtId="0" fontId="16" fillId="7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/>
  </cellStyles>
  <dxfs count="10">
    <dxf>
      <font>
        <color rgb="FF1B5676"/>
      </font>
    </dxf>
    <dxf>
      <font>
        <color rgb="FF1B5676"/>
      </font>
      <numFmt numFmtId="164" formatCode="dd/mm/yyyy"/>
    </dxf>
    <dxf>
      <font>
        <color rgb="FF1B5676"/>
      </font>
      <numFmt numFmtId="165" formatCode="&quot;R$&quot; #,##0.00"/>
    </dxf>
    <dxf>
      <font>
        <color rgb="FF293E38"/>
      </font>
      <fill>
        <patternFill>
          <bgColor rgb="FFE6ECE6"/>
        </patternFill>
      </fill>
    </dxf>
    <dxf>
      <font>
        <color rgb="FF8B302B"/>
      </font>
      <fill>
        <patternFill>
          <bgColor rgb="FFFBE5E2"/>
        </patternFill>
      </fill>
    </dxf>
    <dxf>
      <font>
        <color rgb="FF77591E"/>
      </font>
      <fill>
        <patternFill>
          <bgColor rgb="FFFFF0D0"/>
        </patternFill>
      </fill>
    </dxf>
    <dxf>
      <font>
        <color rgb="FF285935"/>
      </font>
      <fill>
        <patternFill>
          <bgColor rgb="FFE6F0E6"/>
        </patternFill>
      </fill>
    </dxf>
    <dxf>
      <font>
        <color rgb="FF293E38"/>
      </font>
    </dxf>
    <dxf>
      <fill>
        <patternFill patternType="solid">
          <fgColor rgb="00E6ECE6"/>
        </patternFill>
      </fill>
    </dxf>
    <dxf>
      <fill>
        <patternFill patternType="solid">
          <fgColor rgb="00FFF0D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Funil comercial</a:t>
            </a:r>
          </a:p>
        </rich>
      </tx>
      <layout/>
    </title>
    <plotArea>
      <layout/>
      <barChart>
        <barDir val="bar"/>
        <grouping val="clustered"/>
        <ser>
          <idx val="0"/>
          <order val="0"/>
          <tx>
            <v>Clínicas por etapa</v>
          </tx>
          <spPr>
            <a:solidFill xmlns:a="http://schemas.openxmlformats.org/drawingml/2006/main">
              <a:srgbClr val="293E38"/>
            </a:solidFill>
            <a:ln xmlns:a="http://schemas.openxmlformats.org/drawingml/2006/main">
              <a:noFill/>
              <a:prstDash val="solid"/>
            </a:ln>
          </spPr>
          <cat>
            <strRef>
              <f>'Resumo'!$B$18:$B$26</f>
              <strCache>
                <ptCount val="9"/>
                <pt idx="0">
                  <v>Prospectar</v>
                </pt>
                <pt idx="1">
                  <v>Contatado</v>
                </pt>
                <pt idx="2">
                  <v>Em conversa</v>
                </pt>
                <pt idx="3">
                  <v>Demonstração marcada</v>
                </pt>
                <pt idx="4">
                  <v>Proposta enviada</v>
                </pt>
                <pt idx="5">
                  <v>Negociação</v>
                </pt>
                <pt idx="6">
                  <v>Fechado</v>
                </pt>
                <pt idx="7">
                  <v>Perdido</v>
                </pt>
                <pt idx="8">
                  <v>Retomar depois</v>
                </pt>
              </strCache>
            </strRef>
          </cat>
          <val>
            <numRef>
              <f>'Resumo'!$E$18:$E$26</f>
              <numCache>
                <formatCode>General</formatCode>
                <ptCount val="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</numCache>
            </numRef>
          </val>
        </ser>
        <gapWidth val="150"/>
        <axId val="50010001"/>
        <axId val="50010002"/>
      </barChart>
      <catAx>
        <axId val="50010001"/>
        <scaling>
          <orientation val="maxMin"/>
        </scaling>
        <axPos val="l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  <min val="0"/>
        </scaling>
        <axPos val="t"/>
        <majorGridlines/>
        <numFmt formatCode="0" sourceLinked="0"/>
        <majorTickMark val="none"/>
        <minorTickMark val="none"/>
        <tickLblPos val="nextTo"/>
        <crossAx val="50010001"/>
        <crosses val="autoZero"/>
        <crossBetween val="between"/>
        <majorUnit val="1"/>
      </valAx>
    </plotArea>
    <plotVisOnly val="1"/>
    <dispBlanksAs val="gap"/>
  </chart>
  <spPr>
    <a:solidFill xmlns:a="http://schemas.openxmlformats.org/drawingml/2006/main">
      <a:srgbClr val="F7F3EF"/>
    </a:solidFill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6</col>
      <colOff>0</colOff>
      <row>15</row>
      <rowOff>0</rowOff>
    </from>
    <to>
      <col>12</col>
      <colOff>533400</colOff>
      <row>33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ContatosCRM" displayName="ContatosCRM" ref="A4:AI204" headerRowCount="1" totalsRowShown="0">
  <autoFilter ref="A4:AI204"/>
  <tableColumns count="35">
    <tableColumn id="1" name="Clínica" dataDxfId="0"/>
    <tableColumn id="2" name="Cidade / UF" dataDxfId="0"/>
    <tableColumn id="3" name="Responsável" dataDxfId="0"/>
    <tableColumn id="4" name="WhatsApp comercial" dataDxfId="0"/>
    <tableColumn id="5" name="E-mail comercial" dataDxfId="0"/>
    <tableColumn id="6" name="Instagram / site" dataDxfId="0"/>
    <tableColumn id="7" name="Origem" dataDxfId="0"/>
    <tableColumn id="8" name="Etapa" dataDxfId="0"/>
    <tableColumn id="9" name="Interesse / necessidade" dataDxfId="0"/>
    <tableColumn id="10" name="Último contato" dataDxfId="1"/>
    <tableColumn id="11" name="Próximo contato" dataDxfId="1"/>
    <tableColumn id="12" name="Próxima ação" dataDxfId="0"/>
    <tableColumn id="13" name="Preferência de contato" dataDxfId="0"/>
    <tableColumn id="14" name="Implantação proposta (R$)" dataDxfId="2"/>
    <tableColumn id="15" name="Mensalidade proposta (R$)" dataDxfId="2"/>
    <tableColumn id="16" name="Data do fechamento" dataDxfId="1"/>
    <tableColumn id="17" name="Motivo da perda" dataDxfId="0"/>
    <tableColumn id="18" name="Observações" dataDxfId="0"/>
    <tableColumn id="19" name="Situação do retorno" dataDxfId="3"/>
    <tableColumn id="20" name="Canal principal"/>
    <tableColumn id="21" name="Contato principal"/>
    <tableColumn id="22" name="Site verificado"/>
    <tableColumn id="23" name="Fonte pública do contato"/>
    <tableColumn id="24" name="Data de verificação"/>
    <tableColumn id="25" name="Verificação"/>
    <tableColumn id="26" name="Potencial comercial (0–10)"/>
    <tableColumn id="27" name="Capacidade estimada (0–10)"/>
    <tableColumn id="28" name="Evidências do potencial"/>
    <tableColumn id="29" name="Evidências da capacidade"/>
    <tableColumn id="30" name="Prioridade comercial"/>
    <tableColumn id="31" name="País da clínica"/>
    <tableColumn id="32" name="Proprietário identificado"/>
    <tableColumn id="33" name="Proprietário brasileiro?"/>
    <tableColumn id="34" name="Fonte sobre proprietário / nacionalidade"/>
    <tableColumn id="35" name="Localização internacional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ExemplosFicticios" displayName="ExemplosFicticios" ref="A4:S7" headerRowCount="1" totalsRowShown="0">
  <autoFilter ref="A4:S7"/>
  <tableColumns count="19">
    <tableColumn id="1" name="Clínica" dataDxfId="7"/>
    <tableColumn id="2" name="Cidade / UF" dataDxfId="7"/>
    <tableColumn id="3" name="Responsável" dataDxfId="7"/>
    <tableColumn id="4" name="WhatsApp comercial" dataDxfId="7"/>
    <tableColumn id="5" name="E-mail comercial" dataDxfId="7"/>
    <tableColumn id="6" name="Instagram / site" dataDxfId="7"/>
    <tableColumn id="7" name="Origem" dataDxfId="7"/>
    <tableColumn id="8" name="Etapa" dataDxfId="7"/>
    <tableColumn id="9" name="Interesse / necessidade" dataDxfId="7"/>
    <tableColumn id="10" name="Último contato" dataDxfId="1"/>
    <tableColumn id="11" name="Próximo contato" dataDxfId="1"/>
    <tableColumn id="12" name="Próxima ação" dataDxfId="7"/>
    <tableColumn id="13" name="Preferência de contato" dataDxfId="7"/>
    <tableColumn id="14" name="Implantação proposta (R$)" dataDxfId="2"/>
    <tableColumn id="15" name="Mensalidade proposta (R$)" dataDxfId="2"/>
    <tableColumn id="16" name="Data do fechamento" dataDxfId="1"/>
    <tableColumn id="17" name="Motivo da perda" dataDxfId="7"/>
    <tableColumn id="18" name="Observações" dataDxfId="7"/>
    <tableColumn id="19" name="Situação do retorno" dataDxfId="7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H41"/>
  <sheetViews>
    <sheetView showGridLines="0" tabSelected="1" workbookViewId="0">
      <selection activeCell="A1" sqref="A1"/>
    </sheetView>
  </sheetViews>
  <sheetFormatPr baseColWidth="8" defaultRowHeight="15"/>
  <cols>
    <col width="3.7109375" customWidth="1" min="1" max="1"/>
    <col width="13.7109375" customWidth="1" min="2" max="8"/>
  </cols>
  <sheetData>
    <row r="2" ht="52" customHeight="1">
      <c r="B2" s="1" t="inlineStr">
        <is>
          <t>Seu CRM de vendas para clínicas</t>
        </is>
      </c>
    </row>
    <row r="4">
      <c r="B4" s="2" t="inlineStr">
        <is>
          <t>Registre os contatos na aba CRM. A aba Resumo acompanha o funil e os próximos retornos. Os exemplos fictícios ficam separados e não entram nos indicadores.</t>
        </is>
      </c>
    </row>
    <row r="5"/>
    <row r="7" ht="27" customHeight="1">
      <c r="B7" s="3" t="inlineStr">
        <is>
          <t>1 · Cadastre a clínica</t>
        </is>
      </c>
    </row>
    <row r="8" ht="24" customHeight="1">
      <c r="B8" s="4" t="inlineStr">
        <is>
          <t>Preencha clínica, cidade, responsável e o canal comercial divulgado. Escreva uma observação concreta sobre o negócio.</t>
        </is>
      </c>
    </row>
    <row r="9" ht="24" customHeight="1"/>
    <row r="11" ht="27" customHeight="1">
      <c r="B11" s="3" t="inlineStr">
        <is>
          <t>2 · Atualize a etapa</t>
        </is>
      </c>
    </row>
    <row r="12" ht="24" customHeight="1">
      <c r="B12" s="4" t="inlineStr">
        <is>
          <t>Use a lista da coluna Etapa conforme a conversa avança. Registre cada contato e o próximo passo.</t>
        </is>
      </c>
    </row>
    <row r="13" ht="24" customHeight="1"/>
    <row r="15" ht="27" customHeight="1">
      <c r="B15" s="3" t="inlineStr">
        <is>
          <t>3 · Agende o retorno</t>
        </is>
      </c>
    </row>
    <row r="16" ht="24" customHeight="1">
      <c r="B16" s="4" t="inlineStr">
        <is>
          <t>Informe Próximo contato e Próxima ação. Situação do retorno sinaliza atrasos e contatos previstos para hoje.</t>
        </is>
      </c>
    </row>
    <row r="17" ht="24" customHeight="1"/>
    <row r="19" ht="27" customHeight="1">
      <c r="B19" s="3" t="inlineStr">
        <is>
          <t>4 · Respeite a preferência</t>
        </is>
      </c>
    </row>
    <row r="20" ht="24" customHeight="1">
      <c r="B20" s="4" t="inlineStr">
        <is>
          <t>Selecione Não contatar quando houver recusa. Isso prevalece sobre o alerta de retorno. A planilha não envia mensagens.</t>
        </is>
      </c>
    </row>
    <row r="21" ht="24" customHeight="1"/>
    <row r="23" ht="27" customHeight="1">
      <c r="B23" s="3" t="inlineStr">
        <is>
          <t>5 · Registre a proposta</t>
        </is>
      </c>
    </row>
    <row r="24" ht="24" customHeight="1">
      <c r="B24" s="4" t="inlineStr">
        <is>
          <t>Informe implantação e mensalidade em suas colunas. Ao fechar, marque Fechado e preencha Data do fechamento.</t>
        </is>
      </c>
    </row>
    <row r="25" ht="24" customHeight="1"/>
    <row r="27" ht="27" customHeight="1">
      <c r="B27" s="3" t="inlineStr">
        <is>
          <t>6 · Acompanhe os resultados</t>
        </is>
      </c>
    </row>
    <row r="28" ht="24" customHeight="1">
      <c r="B28" s="4" t="inlineStr">
        <is>
          <t>Veja o Resumo. Pipeline de propostas soma somente Proposta enviada e Negociação; valores fechados somam somente Fechado.</t>
        </is>
      </c>
    </row>
    <row r="29" ht="24" customHeight="1"/>
    <row r="31">
      <c r="B31" s="5" t="inlineStr">
        <is>
          <t>Como editar: células de entrada usam texto azul; a coluna Situação do retorno é calculada. Há espaço para 200 clínicas. Se precisar ampliar, atualize também os intervalos das fórmulas e validações. Abra no Excel ou importe pelo Google Planilhas para editar. O Resumo recalcula ao abrir em um aplicativo de planilhas.</t>
        </is>
      </c>
    </row>
    <row r="32"/>
    <row r="33"/>
    <row r="35">
      <c r="B35" s="5" t="inlineStr">
        <is>
          <t>Referência comercial discutida: implantação de R$ 3.490 e manutenção de R$ 397/mês. São sugestões iniciais: ajuste ao escopo, aos custos e ao suporte oferecido. Custos externos e serviços ainda não implementados devem ser definidos separadamente.</t>
        </is>
      </c>
    </row>
    <row r="36"/>
    <row r="37"/>
    <row r="39">
      <c r="B39" s="14" t="inlineStr">
        <is>
          <t>PROSPECÇÃO QUALIFICADA: colunas T–AI registram canais, fontes, notas, proprietário e país. O Instituto Remodele está pendente, informado pelo usuário, sem novos contatos verificados. Excluir contato apenas via Instagram e proprietário não brasileiro; destacar clínicas fora do Brasil. Consulte Critérios das notas e Mapa do segmento.</t>
        </is>
      </c>
    </row>
    <row r="40"/>
    <row r="41"/>
  </sheetData>
  <mergeCells count="17">
    <mergeCell ref="B28:H29"/>
    <mergeCell ref="B24:H25"/>
    <mergeCell ref="B31:H33"/>
    <mergeCell ref="B39:H41"/>
    <mergeCell ref="B27:H27"/>
    <mergeCell ref="B4:H5"/>
    <mergeCell ref="B35:H37"/>
    <mergeCell ref="B12:H13"/>
    <mergeCell ref="B2:H2"/>
    <mergeCell ref="B8:H9"/>
    <mergeCell ref="B15:H15"/>
    <mergeCell ref="B7:H7"/>
    <mergeCell ref="B11:H11"/>
    <mergeCell ref="B16:H17"/>
    <mergeCell ref="B19:H19"/>
    <mergeCell ref="B20:H21"/>
    <mergeCell ref="B23:H23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>
  <sheetPr>
    <tabColor rgb="FF293E38"/>
    <outlinePr summaryBelow="1" summaryRight="1"/>
    <pageSetUpPr fitToPage="1"/>
  </sheetPr>
  <dimension ref="A1:AI20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1" sqref="A1"/>
    </sheetView>
  </sheetViews>
  <sheetFormatPr baseColWidth="8" defaultRowHeight="15"/>
  <cols>
    <col width="28.7109375" customWidth="1" style="6" min="1" max="1"/>
    <col width="20.7109375" customWidth="1" style="6" min="2" max="2"/>
    <col width="23.7109375" customWidth="1" style="6" min="3" max="3"/>
    <col width="24.7109375" customWidth="1" style="6" min="4" max="4"/>
    <col width="31.7109375" customWidth="1" style="6" min="5" max="5"/>
    <col width="32.7109375" customWidth="1" style="6" min="6" max="6"/>
    <col width="18.7109375" customWidth="1" style="6" min="7" max="7"/>
    <col width="25.7109375" customWidth="1" style="6" min="8" max="8"/>
    <col width="42.7109375" customWidth="1" style="6" min="9" max="9"/>
    <col width="17.7109375" customWidth="1" style="7" min="10" max="11"/>
    <col width="42.7109375" customWidth="1" style="6" min="12" max="12"/>
    <col width="23.7109375" customWidth="1" style="6" min="13" max="13"/>
    <col width="24.7109375" customWidth="1" style="8" min="14" max="14"/>
    <col width="25.7109375" customWidth="1" style="8" min="15" max="15"/>
    <col width="19.7109375" customWidth="1" style="7" min="16" max="16"/>
    <col width="22.7109375" customWidth="1" style="6" min="17" max="17"/>
    <col width="45.7109375" customWidth="1" style="6" min="18" max="18"/>
    <col width="22.7109375" customWidth="1" style="9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48" customWidth="1" min="28" max="28"/>
    <col width="48" customWidth="1" min="29" max="29"/>
    <col width="48" customWidth="1" min="30" max="30"/>
    <col width="30" customWidth="1" min="31" max="31"/>
    <col width="30" customWidth="1" min="32" max="32"/>
    <col width="30" customWidth="1" min="33" max="33"/>
    <col width="52" customWidth="1" min="34" max="34"/>
    <col width="30" customWidth="1" min="35" max="35"/>
  </cols>
  <sheetData>
    <row r="1" ht="45" customHeight="1">
      <c r="A1" s="1" t="inlineStr">
        <is>
          <t>CRM · Prospecção e acompanhamento</t>
        </is>
      </c>
      <c r="T1" s="15" t="inlineStr">
        <is>
          <t>QUALIFICAÇÃO · FONTES · PRIORIDADE</t>
        </is>
      </c>
    </row>
    <row r="2" ht="32" customHeight="1">
      <c r="A2" s="2" t="inlineStr">
        <is>
          <t>Preencha as células em azul. Use os filtros para selecionar etapa, origem e retornos pendentes. Não substitua as fórmulas da última coluna.</t>
        </is>
      </c>
      <c r="T2" s="16" t="inlineStr">
        <is>
          <t>Somente canais comerciais fora do Instagram. Notas exigem evidências; sem dados suficientes, mantenha em branco.</t>
        </is>
      </c>
    </row>
    <row r="4" ht="44" customHeight="1">
      <c r="A4" s="6" t="inlineStr">
        <is>
          <t>Clínica</t>
        </is>
      </c>
      <c r="B4" s="6" t="inlineStr">
        <is>
          <t>Cidade / UF</t>
        </is>
      </c>
      <c r="C4" s="6" t="inlineStr">
        <is>
          <t>Responsável</t>
        </is>
      </c>
      <c r="D4" s="6" t="inlineStr">
        <is>
          <t>WhatsApp comercial</t>
        </is>
      </c>
      <c r="E4" s="6" t="inlineStr">
        <is>
          <t>E-mail comercial</t>
        </is>
      </c>
      <c r="F4" s="6" t="inlineStr">
        <is>
          <t>Instagram / site</t>
        </is>
      </c>
      <c r="G4" s="6" t="inlineStr">
        <is>
          <t>Origem</t>
        </is>
      </c>
      <c r="H4" s="6" t="inlineStr">
        <is>
          <t>Etapa</t>
        </is>
      </c>
      <c r="I4" s="6" t="inlineStr">
        <is>
          <t>Interesse / necessidade</t>
        </is>
      </c>
      <c r="J4" s="7" t="inlineStr">
        <is>
          <t>Último contato</t>
        </is>
      </c>
      <c r="K4" s="7" t="inlineStr">
        <is>
          <t>Próximo contato</t>
        </is>
      </c>
      <c r="L4" s="6" t="inlineStr">
        <is>
          <t>Próxima ação</t>
        </is>
      </c>
      <c r="M4" s="6" t="inlineStr">
        <is>
          <t>Preferência de contato</t>
        </is>
      </c>
      <c r="N4" s="8" t="inlineStr">
        <is>
          <t>Implantação proposta (R$)</t>
        </is>
      </c>
      <c r="O4" s="8" t="inlineStr">
        <is>
          <t>Mensalidade proposta (R$)</t>
        </is>
      </c>
      <c r="P4" s="7" t="inlineStr">
        <is>
          <t>Data do fechamento</t>
        </is>
      </c>
      <c r="Q4" s="6" t="inlineStr">
        <is>
          <t>Motivo da perda</t>
        </is>
      </c>
      <c r="R4" s="6" t="inlineStr">
        <is>
          <t>Observações</t>
        </is>
      </c>
      <c r="S4" s="9" t="inlineStr">
        <is>
          <t>Situação do retorno</t>
        </is>
      </c>
      <c r="T4" s="17" t="inlineStr">
        <is>
          <t>Canal principal</t>
        </is>
      </c>
      <c r="U4" s="17" t="inlineStr">
        <is>
          <t>Contato principal</t>
        </is>
      </c>
      <c r="V4" s="17" t="inlineStr">
        <is>
          <t>Site verificado</t>
        </is>
      </c>
      <c r="W4" s="17" t="inlineStr">
        <is>
          <t>Fonte pública do contato</t>
        </is>
      </c>
      <c r="X4" s="17" t="inlineStr">
        <is>
          <t>Data de verificação</t>
        </is>
      </c>
      <c r="Y4" s="17" t="inlineStr">
        <is>
          <t>Verificação</t>
        </is>
      </c>
      <c r="Z4" s="17" t="inlineStr">
        <is>
          <t>Potencial comercial (0–10)</t>
        </is>
      </c>
      <c r="AA4" s="17" t="inlineStr">
        <is>
          <t>Capacidade estimada (0–10)</t>
        </is>
      </c>
      <c r="AB4" s="17" t="inlineStr">
        <is>
          <t>Evidências do potencial</t>
        </is>
      </c>
      <c r="AC4" s="17" t="inlineStr">
        <is>
          <t>Evidências da capacidade</t>
        </is>
      </c>
      <c r="AD4" s="17" t="inlineStr">
        <is>
          <t>Prioridade comercial</t>
        </is>
      </c>
      <c r="AE4" s="17" t="inlineStr">
        <is>
          <t>País da clínica</t>
        </is>
      </c>
      <c r="AF4" s="17" t="inlineStr">
        <is>
          <t>Proprietário identificado</t>
        </is>
      </c>
      <c r="AG4" s="17" t="inlineStr">
        <is>
          <t>Proprietário brasileiro?</t>
        </is>
      </c>
      <c r="AH4" s="17" t="inlineStr">
        <is>
          <t>Fonte sobre proprietário / nacionalidade</t>
        </is>
      </c>
      <c r="AI4" s="17" t="inlineStr">
        <is>
          <t>Localização internacional</t>
        </is>
      </c>
    </row>
    <row r="5" ht="28" customHeight="1">
      <c r="A5" s="6" t="inlineStr">
        <is>
          <t>Instituto Remodele</t>
        </is>
      </c>
      <c r="B5" s="6" t="n"/>
      <c r="C5" s="6" t="n"/>
      <c r="D5" s="6" t="n"/>
      <c r="E5" s="6" t="n"/>
      <c r="F5" s="6" t="n"/>
      <c r="G5" s="6" t="inlineStr">
        <is>
          <t>Outro</t>
        </is>
      </c>
      <c r="H5" s="6" t="inlineStr">
        <is>
          <t>Prospectar</t>
        </is>
      </c>
      <c r="I5" s="6" t="inlineStr">
        <is>
          <t>Site simples; agendamento pelo WhatsApp, segundo o usuário.</t>
        </is>
      </c>
      <c r="J5" s="7" t="n"/>
      <c r="K5" s="7" t="n"/>
      <c r="L5" s="6" t="inlineStr">
        <is>
          <t>Verificar site oficial e canal comercial; identificar o responsável pela contratação.</t>
        </is>
      </c>
      <c r="M5" s="6" t="inlineStr">
        <is>
          <t>A confirmar</t>
        </is>
      </c>
      <c r="N5" s="8" t="n"/>
      <c r="O5" s="8" t="n"/>
      <c r="P5" s="7" t="n"/>
      <c r="Q5" s="6" t="n"/>
      <c r="R5" s="6" t="inlineStr">
        <is>
          <t>Origem: relato do usuário nesta conversa. Cidade, site e contato ainda não confirmados.</t>
        </is>
      </c>
      <c r="S5" s="9">
        <f>IF(A5="","",IF(M5="Não contatar","Não contatar",IF(OR(H5="Fechado",H5="Perdido"),"Encerrado",IF(K5="","Sem data",IF(K5&lt;TODAY(),"Atrasado",IF(K5=TODAY(),"Hoje","Agendado")))))))</f>
        <v/>
      </c>
      <c r="T5" s="18" t="inlineStr">
        <is>
          <t>WhatsApp</t>
        </is>
      </c>
      <c r="U5" s="18" t="n"/>
      <c r="V5" s="18" t="n"/>
      <c r="W5" s="18" t="n"/>
      <c r="X5" s="19" t="n"/>
      <c r="Y5" s="18" t="inlineStr">
        <is>
          <t>Pendente</t>
        </is>
      </c>
      <c r="Z5" s="20" t="n"/>
      <c r="AA5" s="20" t="n"/>
      <c r="AB5" s="21" t="inlineStr">
        <is>
          <t>Informação preliminar do usuário. Pontuação depende de validação.</t>
        </is>
      </c>
      <c r="AC5" s="21" t="inlineStr">
        <is>
          <t>Sem evidências públicas verificadas; nota não atribuída.</t>
        </is>
      </c>
      <c r="AD5" s="22">
        <f>IF(A5="","",IF(OR(Y5="Descartado",M5="Não contatar",T5="Instagram",AG5="Não"),"Descartar",IF(OR(Y5&lt;&gt;"Verificado",U5="",W5="",X5="",Z5="",AA5="",AE5="",AF5="",AG5&lt;&gt;"Sim, confirmado",AH5=""),"Pendente",IF(AND(Z5&gt;=7,AA5&gt;=6),"Alta",IF(AND(Z5&gt;=5,AA5&gt;=4),"Média","Baixa")))))</f>
        <v/>
      </c>
      <c r="AE5" s="29" t="n"/>
      <c r="AF5" s="29" t="n"/>
      <c r="AG5" s="29" t="inlineStr">
        <is>
          <t>Não confirmado</t>
        </is>
      </c>
      <c r="AH5" s="29" t="n"/>
      <c r="AI5" s="30">
        <f>IF(A5="","",IF(AE5="","País a verificar",IF(AE5="Brasil","Brasil","FORA DO BRASIL · "&amp;AE5)))</f>
        <v/>
      </c>
    </row>
    <row r="6" ht="28" customHeight="1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7" t="n"/>
      <c r="K6" s="7" t="n"/>
      <c r="L6" s="6" t="n"/>
      <c r="M6" s="6" t="n"/>
      <c r="N6" s="8" t="n"/>
      <c r="O6" s="8" t="n"/>
      <c r="P6" s="7" t="n"/>
      <c r="Q6" s="6" t="n"/>
      <c r="R6" s="6" t="n"/>
      <c r="S6" s="9">
        <f>IF(A6="","",IF(M6="Não contatar","Não contatar",IF(OR(H6="Fechado",H6="Perdido"),"Encerrado",IF(K6="","Sem data",IF(K6&lt;TODAY(),"Atrasado",IF(K6=TODAY(),"Hoje","Agendado")))))))</f>
        <v/>
      </c>
      <c r="T6" s="18" t="n"/>
      <c r="U6" s="18" t="n"/>
      <c r="V6" s="18" t="n"/>
      <c r="W6" s="18" t="n"/>
      <c r="X6" s="19" t="n"/>
      <c r="Y6" s="18" t="n"/>
      <c r="Z6" s="20" t="n"/>
      <c r="AA6" s="20" t="n"/>
      <c r="AB6" s="21" t="n"/>
      <c r="AC6" s="21" t="n"/>
      <c r="AD6" s="22">
        <f>IF(A6="","",IF(OR(Y6="Descartado",M6="Não contatar",T6="Instagram",AG6="Não"),"Descartar",IF(OR(Y6&lt;&gt;"Verificado",U6="",W6="",X6="",Z6="",AA6="",AE6="",AF6="",AG6&lt;&gt;"Sim, confirmado",AH6=""),"Pendente",IF(AND(Z6&gt;=7,AA6&gt;=6),"Alta",IF(AND(Z6&gt;=5,AA6&gt;=4),"Média","Baixa")))))</f>
        <v/>
      </c>
      <c r="AE6" s="29" t="n"/>
      <c r="AF6" s="29" t="n"/>
      <c r="AG6" s="29" t="n"/>
      <c r="AH6" s="29" t="n"/>
      <c r="AI6" s="30">
        <f>IF(A6="","",IF(AE6="","País a verificar",IF(AE6="Brasil","Brasil","FORA DO BRASIL · "&amp;AE6)))</f>
        <v/>
      </c>
    </row>
    <row r="7" ht="28" customHeight="1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7" t="n"/>
      <c r="K7" s="7" t="n"/>
      <c r="L7" s="6" t="n"/>
      <c r="M7" s="6" t="n"/>
      <c r="N7" s="8" t="n"/>
      <c r="O7" s="8" t="n"/>
      <c r="P7" s="7" t="n"/>
      <c r="Q7" s="6" t="n"/>
      <c r="R7" s="6" t="n"/>
      <c r="S7" s="9">
        <f>IF(A7="","",IF(M7="Não contatar","Não contatar",IF(OR(H7="Fechado",H7="Perdido"),"Encerrado",IF(K7="","Sem data",IF(K7&lt;TODAY(),"Atrasado",IF(K7=TODAY(),"Hoje","Agendado")))))))</f>
        <v/>
      </c>
      <c r="T7" s="18" t="n"/>
      <c r="U7" s="18" t="n"/>
      <c r="V7" s="18" t="n"/>
      <c r="W7" s="18" t="n"/>
      <c r="X7" s="19" t="n"/>
      <c r="Y7" s="18" t="n"/>
      <c r="Z7" s="20" t="n"/>
      <c r="AA7" s="20" t="n"/>
      <c r="AB7" s="21" t="n"/>
      <c r="AC7" s="21" t="n"/>
      <c r="AD7" s="22">
        <f>IF(A7="","",IF(OR(Y7="Descartado",M7="Não contatar",T7="Instagram",AG7="Não"),"Descartar",IF(OR(Y7&lt;&gt;"Verificado",U7="",W7="",X7="",Z7="",AA7="",AE7="",AF7="",AG7&lt;&gt;"Sim, confirmado",AH7=""),"Pendente",IF(AND(Z7&gt;=7,AA7&gt;=6),"Alta",IF(AND(Z7&gt;=5,AA7&gt;=4),"Média","Baixa")))))</f>
        <v/>
      </c>
      <c r="AE7" s="29" t="n"/>
      <c r="AF7" s="29" t="n"/>
      <c r="AG7" s="29" t="n"/>
      <c r="AH7" s="29" t="n"/>
      <c r="AI7" s="30">
        <f>IF(A7="","",IF(AE7="","País a verificar",IF(AE7="Brasil","Brasil","FORA DO BRASIL · "&amp;AE7)))</f>
        <v/>
      </c>
    </row>
    <row r="8" ht="28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7" t="n"/>
      <c r="K8" s="7" t="n"/>
      <c r="L8" s="6" t="n"/>
      <c r="M8" s="6" t="n"/>
      <c r="N8" s="8" t="n"/>
      <c r="O8" s="8" t="n"/>
      <c r="P8" s="7" t="n"/>
      <c r="Q8" s="6" t="n"/>
      <c r="R8" s="6" t="n"/>
      <c r="S8" s="9">
        <f>IF(A8="","",IF(M8="Não contatar","Não contatar",IF(OR(H8="Fechado",H8="Perdido"),"Encerrado",IF(K8="","Sem data",IF(K8&lt;TODAY(),"Atrasado",IF(K8=TODAY(),"Hoje","Agendado")))))))</f>
        <v/>
      </c>
      <c r="T8" s="18" t="n"/>
      <c r="U8" s="18" t="n"/>
      <c r="V8" s="18" t="n"/>
      <c r="W8" s="18" t="n"/>
      <c r="X8" s="19" t="n"/>
      <c r="Y8" s="18" t="n"/>
      <c r="Z8" s="20" t="n"/>
      <c r="AA8" s="20" t="n"/>
      <c r="AB8" s="21" t="n"/>
      <c r="AC8" s="21" t="n"/>
      <c r="AD8" s="22">
        <f>IF(A8="","",IF(OR(Y8="Descartado",M8="Não contatar",T8="Instagram",AG8="Não"),"Descartar",IF(OR(Y8&lt;&gt;"Verificado",U8="",W8="",X8="",Z8="",AA8="",AE8="",AF8="",AG8&lt;&gt;"Sim, confirmado",AH8=""),"Pendente",IF(AND(Z8&gt;=7,AA8&gt;=6),"Alta",IF(AND(Z8&gt;=5,AA8&gt;=4),"Média","Baixa")))))</f>
        <v/>
      </c>
      <c r="AE8" s="29" t="n"/>
      <c r="AF8" s="29" t="n"/>
      <c r="AG8" s="29" t="n"/>
      <c r="AH8" s="29" t="n"/>
      <c r="AI8" s="30">
        <f>IF(A8="","",IF(AE8="","País a verificar",IF(AE8="Brasil","Brasil","FORA DO BRASIL · "&amp;AE8)))</f>
        <v/>
      </c>
    </row>
    <row r="9" ht="28" customHeight="1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7" t="n"/>
      <c r="K9" s="7" t="n"/>
      <c r="L9" s="6" t="n"/>
      <c r="M9" s="6" t="n"/>
      <c r="N9" s="8" t="n"/>
      <c r="O9" s="8" t="n"/>
      <c r="P9" s="7" t="n"/>
      <c r="Q9" s="6" t="n"/>
      <c r="R9" s="6" t="n"/>
      <c r="S9" s="9">
        <f>IF(A9="","",IF(M9="Não contatar","Não contatar",IF(OR(H9="Fechado",H9="Perdido"),"Encerrado",IF(K9="","Sem data",IF(K9&lt;TODAY(),"Atrasado",IF(K9=TODAY(),"Hoje","Agendado")))))))</f>
        <v/>
      </c>
      <c r="T9" s="18" t="n"/>
      <c r="U9" s="18" t="n"/>
      <c r="V9" s="18" t="n"/>
      <c r="W9" s="18" t="n"/>
      <c r="X9" s="19" t="n"/>
      <c r="Y9" s="18" t="n"/>
      <c r="Z9" s="20" t="n"/>
      <c r="AA9" s="20" t="n"/>
      <c r="AB9" s="21" t="n"/>
      <c r="AC9" s="21" t="n"/>
      <c r="AD9" s="22">
        <f>IF(A9="","",IF(OR(Y9="Descartado",M9="Não contatar",T9="Instagram",AG9="Não"),"Descartar",IF(OR(Y9&lt;&gt;"Verificado",U9="",W9="",X9="",Z9="",AA9="",AE9="",AF9="",AG9&lt;&gt;"Sim, confirmado",AH9=""),"Pendente",IF(AND(Z9&gt;=7,AA9&gt;=6),"Alta",IF(AND(Z9&gt;=5,AA9&gt;=4),"Média","Baixa")))))</f>
        <v/>
      </c>
      <c r="AE9" s="29" t="n"/>
      <c r="AF9" s="29" t="n"/>
      <c r="AG9" s="29" t="n"/>
      <c r="AH9" s="29" t="n"/>
      <c r="AI9" s="30">
        <f>IF(A9="","",IF(AE9="","País a verificar",IF(AE9="Brasil","Brasil","FORA DO BRASIL · "&amp;AE9)))</f>
        <v/>
      </c>
    </row>
    <row r="10" ht="28" customHeight="1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7" t="n"/>
      <c r="K10" s="7" t="n"/>
      <c r="L10" s="6" t="n"/>
      <c r="M10" s="6" t="n"/>
      <c r="N10" s="8" t="n"/>
      <c r="O10" s="8" t="n"/>
      <c r="P10" s="7" t="n"/>
      <c r="Q10" s="6" t="n"/>
      <c r="R10" s="6" t="n"/>
      <c r="S10" s="9">
        <f>IF(A10="","",IF(M10="Não contatar","Não contatar",IF(OR(H10="Fechado",H10="Perdido"),"Encerrado",IF(K10="","Sem data",IF(K10&lt;TODAY(),"Atrasado",IF(K10=TODAY(),"Hoje","Agendado")))))))</f>
        <v/>
      </c>
      <c r="T10" s="18" t="n"/>
      <c r="U10" s="18" t="n"/>
      <c r="V10" s="18" t="n"/>
      <c r="W10" s="18" t="n"/>
      <c r="X10" s="19" t="n"/>
      <c r="Y10" s="18" t="n"/>
      <c r="Z10" s="20" t="n"/>
      <c r="AA10" s="20" t="n"/>
      <c r="AB10" s="21" t="n"/>
      <c r="AC10" s="21" t="n"/>
      <c r="AD10" s="22">
        <f>IF(A10="","",IF(OR(Y10="Descartado",M10="Não contatar",T10="Instagram",AG10="Não"),"Descartar",IF(OR(Y10&lt;&gt;"Verificado",U10="",W10="",X10="",Z10="",AA10="",AE10="",AF10="",AG10&lt;&gt;"Sim, confirmado",AH10=""),"Pendente",IF(AND(Z10&gt;=7,AA10&gt;=6),"Alta",IF(AND(Z10&gt;=5,AA10&gt;=4),"Média","Baixa")))))</f>
        <v/>
      </c>
      <c r="AE10" s="29" t="n"/>
      <c r="AF10" s="29" t="n"/>
      <c r="AG10" s="29" t="n"/>
      <c r="AH10" s="29" t="n"/>
      <c r="AI10" s="30">
        <f>IF(A10="","",IF(AE10="","País a verificar",IF(AE10="Brasil","Brasil","FORA DO BRASIL · "&amp;AE10)))</f>
        <v/>
      </c>
    </row>
    <row r="11" ht="28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7" t="n"/>
      <c r="K11" s="7" t="n"/>
      <c r="L11" s="6" t="n"/>
      <c r="M11" s="6" t="n"/>
      <c r="N11" s="8" t="n"/>
      <c r="O11" s="8" t="n"/>
      <c r="P11" s="7" t="n"/>
      <c r="Q11" s="6" t="n"/>
      <c r="R11" s="6" t="n"/>
      <c r="S11" s="9">
        <f>IF(A11="","",IF(M11="Não contatar","Não contatar",IF(OR(H11="Fechado",H11="Perdido"),"Encerrado",IF(K11="","Sem data",IF(K11&lt;TODAY(),"Atrasado",IF(K11=TODAY(),"Hoje","Agendado")))))))</f>
        <v/>
      </c>
      <c r="T11" s="18" t="n"/>
      <c r="U11" s="18" t="n"/>
      <c r="V11" s="18" t="n"/>
      <c r="W11" s="18" t="n"/>
      <c r="X11" s="19" t="n"/>
      <c r="Y11" s="18" t="n"/>
      <c r="Z11" s="20" t="n"/>
      <c r="AA11" s="20" t="n"/>
      <c r="AB11" s="21" t="n"/>
      <c r="AC11" s="21" t="n"/>
      <c r="AD11" s="22">
        <f>IF(A11="","",IF(OR(Y11="Descartado",M11="Não contatar",T11="Instagram",AG11="Não"),"Descartar",IF(OR(Y11&lt;&gt;"Verificado",U11="",W11="",X11="",Z11="",AA11="",AE11="",AF11="",AG11&lt;&gt;"Sim, confirmado",AH11=""),"Pendente",IF(AND(Z11&gt;=7,AA11&gt;=6),"Alta",IF(AND(Z11&gt;=5,AA11&gt;=4),"Média","Baixa")))))</f>
        <v/>
      </c>
      <c r="AE11" s="29" t="n"/>
      <c r="AF11" s="29" t="n"/>
      <c r="AG11" s="29" t="n"/>
      <c r="AH11" s="29" t="n"/>
      <c r="AI11" s="30">
        <f>IF(A11="","",IF(AE11="","País a verificar",IF(AE11="Brasil","Brasil","FORA DO BRASIL · "&amp;AE11)))</f>
        <v/>
      </c>
    </row>
    <row r="12" ht="28" customHeight="1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7" t="n"/>
      <c r="K12" s="7" t="n"/>
      <c r="L12" s="6" t="n"/>
      <c r="M12" s="6" t="n"/>
      <c r="N12" s="8" t="n"/>
      <c r="O12" s="8" t="n"/>
      <c r="P12" s="7" t="n"/>
      <c r="Q12" s="6" t="n"/>
      <c r="R12" s="6" t="n"/>
      <c r="S12" s="9">
        <f>IF(A12="","",IF(M12="Não contatar","Não contatar",IF(OR(H12="Fechado",H12="Perdido"),"Encerrado",IF(K12="","Sem data",IF(K12&lt;TODAY(),"Atrasado",IF(K12=TODAY(),"Hoje","Agendado")))))))</f>
        <v/>
      </c>
      <c r="T12" s="18" t="n"/>
      <c r="U12" s="18" t="n"/>
      <c r="V12" s="18" t="n"/>
      <c r="W12" s="18" t="n"/>
      <c r="X12" s="19" t="n"/>
      <c r="Y12" s="18" t="n"/>
      <c r="Z12" s="20" t="n"/>
      <c r="AA12" s="20" t="n"/>
      <c r="AB12" s="21" t="n"/>
      <c r="AC12" s="21" t="n"/>
      <c r="AD12" s="22">
        <f>IF(A12="","",IF(OR(Y12="Descartado",M12="Não contatar",T12="Instagram",AG12="Não"),"Descartar",IF(OR(Y12&lt;&gt;"Verificado",U12="",W12="",X12="",Z12="",AA12="",AE12="",AF12="",AG12&lt;&gt;"Sim, confirmado",AH12=""),"Pendente",IF(AND(Z12&gt;=7,AA12&gt;=6),"Alta",IF(AND(Z12&gt;=5,AA12&gt;=4),"Média","Baixa")))))</f>
        <v/>
      </c>
      <c r="AE12" s="29" t="n"/>
      <c r="AF12" s="29" t="n"/>
      <c r="AG12" s="29" t="n"/>
      <c r="AH12" s="29" t="n"/>
      <c r="AI12" s="30">
        <f>IF(A12="","",IF(AE12="","País a verificar",IF(AE12="Brasil","Brasil","FORA DO BRASIL · "&amp;AE12)))</f>
        <v/>
      </c>
    </row>
    <row r="13" ht="28" customHeight="1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7" t="n"/>
      <c r="K13" s="7" t="n"/>
      <c r="L13" s="6" t="n"/>
      <c r="M13" s="6" t="n"/>
      <c r="N13" s="8" t="n"/>
      <c r="O13" s="8" t="n"/>
      <c r="P13" s="7" t="n"/>
      <c r="Q13" s="6" t="n"/>
      <c r="R13" s="6" t="n"/>
      <c r="S13" s="9">
        <f>IF(A13="","",IF(M13="Não contatar","Não contatar",IF(OR(H13="Fechado",H13="Perdido"),"Encerrado",IF(K13="","Sem data",IF(K13&lt;TODAY(),"Atrasado",IF(K13=TODAY(),"Hoje","Agendado")))))))</f>
        <v/>
      </c>
      <c r="T13" s="18" t="n"/>
      <c r="U13" s="18" t="n"/>
      <c r="V13" s="18" t="n"/>
      <c r="W13" s="18" t="n"/>
      <c r="X13" s="19" t="n"/>
      <c r="Y13" s="18" t="n"/>
      <c r="Z13" s="20" t="n"/>
      <c r="AA13" s="20" t="n"/>
      <c r="AB13" s="21" t="n"/>
      <c r="AC13" s="21" t="n"/>
      <c r="AD13" s="22">
        <f>IF(A13="","",IF(OR(Y13="Descartado",M13="Não contatar",T13="Instagram",AG13="Não"),"Descartar",IF(OR(Y13&lt;&gt;"Verificado",U13="",W13="",X13="",Z13="",AA13="",AE13="",AF13="",AG13&lt;&gt;"Sim, confirmado",AH13=""),"Pendente",IF(AND(Z13&gt;=7,AA13&gt;=6),"Alta",IF(AND(Z13&gt;=5,AA13&gt;=4),"Média","Baixa")))))</f>
        <v/>
      </c>
      <c r="AE13" s="29" t="n"/>
      <c r="AF13" s="29" t="n"/>
      <c r="AG13" s="29" t="n"/>
      <c r="AH13" s="29" t="n"/>
      <c r="AI13" s="30">
        <f>IF(A13="","",IF(AE13="","País a verificar",IF(AE13="Brasil","Brasil","FORA DO BRASIL · "&amp;AE13)))</f>
        <v/>
      </c>
    </row>
    <row r="14" ht="28" customHeight="1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7" t="n"/>
      <c r="K14" s="7" t="n"/>
      <c r="L14" s="6" t="n"/>
      <c r="M14" s="6" t="n"/>
      <c r="N14" s="8" t="n"/>
      <c r="O14" s="8" t="n"/>
      <c r="P14" s="7" t="n"/>
      <c r="Q14" s="6" t="n"/>
      <c r="R14" s="6" t="n"/>
      <c r="S14" s="9">
        <f>IF(A14="","",IF(M14="Não contatar","Não contatar",IF(OR(H14="Fechado",H14="Perdido"),"Encerrado",IF(K14="","Sem data",IF(K14&lt;TODAY(),"Atrasado",IF(K14=TODAY(),"Hoje","Agendado")))))))</f>
        <v/>
      </c>
      <c r="T14" s="18" t="n"/>
      <c r="U14" s="18" t="n"/>
      <c r="V14" s="18" t="n"/>
      <c r="W14" s="18" t="n"/>
      <c r="X14" s="19" t="n"/>
      <c r="Y14" s="18" t="n"/>
      <c r="Z14" s="20" t="n"/>
      <c r="AA14" s="20" t="n"/>
      <c r="AB14" s="21" t="n"/>
      <c r="AC14" s="21" t="n"/>
      <c r="AD14" s="22">
        <f>IF(A14="","",IF(OR(Y14="Descartado",M14="Não contatar",T14="Instagram",AG14="Não"),"Descartar",IF(OR(Y14&lt;&gt;"Verificado",U14="",W14="",X14="",Z14="",AA14="",AE14="",AF14="",AG14&lt;&gt;"Sim, confirmado",AH14=""),"Pendente",IF(AND(Z14&gt;=7,AA14&gt;=6),"Alta",IF(AND(Z14&gt;=5,AA14&gt;=4),"Média","Baixa")))))</f>
        <v/>
      </c>
      <c r="AE14" s="29" t="n"/>
      <c r="AF14" s="29" t="n"/>
      <c r="AG14" s="29" t="n"/>
      <c r="AH14" s="29" t="n"/>
      <c r="AI14" s="30">
        <f>IF(A14="","",IF(AE14="","País a verificar",IF(AE14="Brasil","Brasil","FORA DO BRASIL · "&amp;AE14)))</f>
        <v/>
      </c>
    </row>
    <row r="15" ht="28" customHeight="1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7" t="n"/>
      <c r="K15" s="7" t="n"/>
      <c r="L15" s="6" t="n"/>
      <c r="M15" s="6" t="n"/>
      <c r="N15" s="8" t="n"/>
      <c r="O15" s="8" t="n"/>
      <c r="P15" s="7" t="n"/>
      <c r="Q15" s="6" t="n"/>
      <c r="R15" s="6" t="n"/>
      <c r="S15" s="9">
        <f>IF(A15="","",IF(M15="Não contatar","Não contatar",IF(OR(H15="Fechado",H15="Perdido"),"Encerrado",IF(K15="","Sem data",IF(K15&lt;TODAY(),"Atrasado",IF(K15=TODAY(),"Hoje","Agendado")))))))</f>
        <v/>
      </c>
      <c r="T15" s="18" t="n"/>
      <c r="U15" s="18" t="n"/>
      <c r="V15" s="18" t="n"/>
      <c r="W15" s="18" t="n"/>
      <c r="X15" s="19" t="n"/>
      <c r="Y15" s="18" t="n"/>
      <c r="Z15" s="20" t="n"/>
      <c r="AA15" s="20" t="n"/>
      <c r="AB15" s="21" t="n"/>
      <c r="AC15" s="21" t="n"/>
      <c r="AD15" s="22">
        <f>IF(A15="","",IF(OR(Y15="Descartado",M15="Não contatar",T15="Instagram",AG15="Não"),"Descartar",IF(OR(Y15&lt;&gt;"Verificado",U15="",W15="",X15="",Z15="",AA15="",AE15="",AF15="",AG15&lt;&gt;"Sim, confirmado",AH15=""),"Pendente",IF(AND(Z15&gt;=7,AA15&gt;=6),"Alta",IF(AND(Z15&gt;=5,AA15&gt;=4),"Média","Baixa")))))</f>
        <v/>
      </c>
      <c r="AE15" s="29" t="n"/>
      <c r="AF15" s="29" t="n"/>
      <c r="AG15" s="29" t="n"/>
      <c r="AH15" s="29" t="n"/>
      <c r="AI15" s="30">
        <f>IF(A15="","",IF(AE15="","País a verificar",IF(AE15="Brasil","Brasil","FORA DO BRASIL · "&amp;AE15)))</f>
        <v/>
      </c>
    </row>
    <row r="16" ht="28" customHeight="1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7" t="n"/>
      <c r="K16" s="7" t="n"/>
      <c r="L16" s="6" t="n"/>
      <c r="M16" s="6" t="n"/>
      <c r="N16" s="8" t="n"/>
      <c r="O16" s="8" t="n"/>
      <c r="P16" s="7" t="n"/>
      <c r="Q16" s="6" t="n"/>
      <c r="R16" s="6" t="n"/>
      <c r="S16" s="9">
        <f>IF(A16="","",IF(M16="Não contatar","Não contatar",IF(OR(H16="Fechado",H16="Perdido"),"Encerrado",IF(K16="","Sem data",IF(K16&lt;TODAY(),"Atrasado",IF(K16=TODAY(),"Hoje","Agendado")))))))</f>
        <v/>
      </c>
      <c r="T16" s="18" t="n"/>
      <c r="U16" s="18" t="n"/>
      <c r="V16" s="18" t="n"/>
      <c r="W16" s="18" t="n"/>
      <c r="X16" s="19" t="n"/>
      <c r="Y16" s="18" t="n"/>
      <c r="Z16" s="20" t="n"/>
      <c r="AA16" s="20" t="n"/>
      <c r="AB16" s="21" t="n"/>
      <c r="AC16" s="21" t="n"/>
      <c r="AD16" s="22">
        <f>IF(A16="","",IF(OR(Y16="Descartado",M16="Não contatar",T16="Instagram",AG16="Não"),"Descartar",IF(OR(Y16&lt;&gt;"Verificado",U16="",W16="",X16="",Z16="",AA16="",AE16="",AF16="",AG16&lt;&gt;"Sim, confirmado",AH16=""),"Pendente",IF(AND(Z16&gt;=7,AA16&gt;=6),"Alta",IF(AND(Z16&gt;=5,AA16&gt;=4),"Média","Baixa")))))</f>
        <v/>
      </c>
      <c r="AE16" s="29" t="n"/>
      <c r="AF16" s="29" t="n"/>
      <c r="AG16" s="29" t="n"/>
      <c r="AH16" s="29" t="n"/>
      <c r="AI16" s="30">
        <f>IF(A16="","",IF(AE16="","País a verificar",IF(AE16="Brasil","Brasil","FORA DO BRASIL · "&amp;AE16)))</f>
        <v/>
      </c>
    </row>
    <row r="17" ht="28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7" t="n"/>
      <c r="K17" s="7" t="n"/>
      <c r="L17" s="6" t="n"/>
      <c r="M17" s="6" t="n"/>
      <c r="N17" s="8" t="n"/>
      <c r="O17" s="8" t="n"/>
      <c r="P17" s="7" t="n"/>
      <c r="Q17" s="6" t="n"/>
      <c r="R17" s="6" t="n"/>
      <c r="S17" s="9">
        <f>IF(A17="","",IF(M17="Não contatar","Não contatar",IF(OR(H17="Fechado",H17="Perdido"),"Encerrado",IF(K17="","Sem data",IF(K17&lt;TODAY(),"Atrasado",IF(K17=TODAY(),"Hoje","Agendado")))))))</f>
        <v/>
      </c>
      <c r="T17" s="18" t="n"/>
      <c r="U17" s="18" t="n"/>
      <c r="V17" s="18" t="n"/>
      <c r="W17" s="18" t="n"/>
      <c r="X17" s="19" t="n"/>
      <c r="Y17" s="18" t="n"/>
      <c r="Z17" s="20" t="n"/>
      <c r="AA17" s="20" t="n"/>
      <c r="AB17" s="21" t="n"/>
      <c r="AC17" s="21" t="n"/>
      <c r="AD17" s="22">
        <f>IF(A17="","",IF(OR(Y17="Descartado",M17="Não contatar",T17="Instagram",AG17="Não"),"Descartar",IF(OR(Y17&lt;&gt;"Verificado",U17="",W17="",X17="",Z17="",AA17="",AE17="",AF17="",AG17&lt;&gt;"Sim, confirmado",AH17=""),"Pendente",IF(AND(Z17&gt;=7,AA17&gt;=6),"Alta",IF(AND(Z17&gt;=5,AA17&gt;=4),"Média","Baixa")))))</f>
        <v/>
      </c>
      <c r="AE17" s="29" t="n"/>
      <c r="AF17" s="29" t="n"/>
      <c r="AG17" s="29" t="n"/>
      <c r="AH17" s="29" t="n"/>
      <c r="AI17" s="30">
        <f>IF(A17="","",IF(AE17="","País a verificar",IF(AE17="Brasil","Brasil","FORA DO BRASIL · "&amp;AE17)))</f>
        <v/>
      </c>
    </row>
    <row r="18" ht="28" customHeight="1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7" t="n"/>
      <c r="K18" s="7" t="n"/>
      <c r="L18" s="6" t="n"/>
      <c r="M18" s="6" t="n"/>
      <c r="N18" s="8" t="n"/>
      <c r="O18" s="8" t="n"/>
      <c r="P18" s="7" t="n"/>
      <c r="Q18" s="6" t="n"/>
      <c r="R18" s="6" t="n"/>
      <c r="S18" s="9">
        <f>IF(A18="","",IF(M18="Não contatar","Não contatar",IF(OR(H18="Fechado",H18="Perdido"),"Encerrado",IF(K18="","Sem data",IF(K18&lt;TODAY(),"Atrasado",IF(K18=TODAY(),"Hoje","Agendado")))))))</f>
        <v/>
      </c>
      <c r="T18" s="18" t="n"/>
      <c r="U18" s="18" t="n"/>
      <c r="V18" s="18" t="n"/>
      <c r="W18" s="18" t="n"/>
      <c r="X18" s="19" t="n"/>
      <c r="Y18" s="18" t="n"/>
      <c r="Z18" s="20" t="n"/>
      <c r="AA18" s="20" t="n"/>
      <c r="AB18" s="21" t="n"/>
      <c r="AC18" s="21" t="n"/>
      <c r="AD18" s="22">
        <f>IF(A18="","",IF(OR(Y18="Descartado",M18="Não contatar",T18="Instagram",AG18="Não"),"Descartar",IF(OR(Y18&lt;&gt;"Verificado",U18="",W18="",X18="",Z18="",AA18="",AE18="",AF18="",AG18&lt;&gt;"Sim, confirmado",AH18=""),"Pendente",IF(AND(Z18&gt;=7,AA18&gt;=6),"Alta",IF(AND(Z18&gt;=5,AA18&gt;=4),"Média","Baixa")))))</f>
        <v/>
      </c>
      <c r="AE18" s="29" t="n"/>
      <c r="AF18" s="29" t="n"/>
      <c r="AG18" s="29" t="n"/>
      <c r="AH18" s="29" t="n"/>
      <c r="AI18" s="30">
        <f>IF(A18="","",IF(AE18="","País a verificar",IF(AE18="Brasil","Brasil","FORA DO BRASIL · "&amp;AE18)))</f>
        <v/>
      </c>
    </row>
    <row r="19" ht="28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7" t="n"/>
      <c r="K19" s="7" t="n"/>
      <c r="L19" s="6" t="n"/>
      <c r="M19" s="6" t="n"/>
      <c r="N19" s="8" t="n"/>
      <c r="O19" s="8" t="n"/>
      <c r="P19" s="7" t="n"/>
      <c r="Q19" s="6" t="n"/>
      <c r="R19" s="6" t="n"/>
      <c r="S19" s="9">
        <f>IF(A19="","",IF(M19="Não contatar","Não contatar",IF(OR(H19="Fechado",H19="Perdido"),"Encerrado",IF(K19="","Sem data",IF(K19&lt;TODAY(),"Atrasado",IF(K19=TODAY(),"Hoje","Agendado")))))))</f>
        <v/>
      </c>
      <c r="T19" s="18" t="n"/>
      <c r="U19" s="18" t="n"/>
      <c r="V19" s="18" t="n"/>
      <c r="W19" s="18" t="n"/>
      <c r="X19" s="19" t="n"/>
      <c r="Y19" s="18" t="n"/>
      <c r="Z19" s="20" t="n"/>
      <c r="AA19" s="20" t="n"/>
      <c r="AB19" s="21" t="n"/>
      <c r="AC19" s="21" t="n"/>
      <c r="AD19" s="22">
        <f>IF(A19="","",IF(OR(Y19="Descartado",M19="Não contatar",T19="Instagram",AG19="Não"),"Descartar",IF(OR(Y19&lt;&gt;"Verificado",U19="",W19="",X19="",Z19="",AA19="",AE19="",AF19="",AG19&lt;&gt;"Sim, confirmado",AH19=""),"Pendente",IF(AND(Z19&gt;=7,AA19&gt;=6),"Alta",IF(AND(Z19&gt;=5,AA19&gt;=4),"Média","Baixa")))))</f>
        <v/>
      </c>
      <c r="AE19" s="29" t="n"/>
      <c r="AF19" s="29" t="n"/>
      <c r="AG19" s="29" t="n"/>
      <c r="AH19" s="29" t="n"/>
      <c r="AI19" s="30">
        <f>IF(A19="","",IF(AE19="","País a verificar",IF(AE19="Brasil","Brasil","FORA DO BRASIL · "&amp;AE19)))</f>
        <v/>
      </c>
    </row>
    <row r="20" ht="28" customHeight="1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7" t="n"/>
      <c r="K20" s="7" t="n"/>
      <c r="L20" s="6" t="n"/>
      <c r="M20" s="6" t="n"/>
      <c r="N20" s="8" t="n"/>
      <c r="O20" s="8" t="n"/>
      <c r="P20" s="7" t="n"/>
      <c r="Q20" s="6" t="n"/>
      <c r="R20" s="6" t="n"/>
      <c r="S20" s="9">
        <f>IF(A20="","",IF(M20="Não contatar","Não contatar",IF(OR(H20="Fechado",H20="Perdido"),"Encerrado",IF(K20="","Sem data",IF(K20&lt;TODAY(),"Atrasado",IF(K20=TODAY(),"Hoje","Agendado")))))))</f>
        <v/>
      </c>
      <c r="T20" s="18" t="n"/>
      <c r="U20" s="18" t="n"/>
      <c r="V20" s="18" t="n"/>
      <c r="W20" s="18" t="n"/>
      <c r="X20" s="19" t="n"/>
      <c r="Y20" s="18" t="n"/>
      <c r="Z20" s="20" t="n"/>
      <c r="AA20" s="20" t="n"/>
      <c r="AB20" s="21" t="n"/>
      <c r="AC20" s="21" t="n"/>
      <c r="AD20" s="22">
        <f>IF(A20="","",IF(OR(Y20="Descartado",M20="Não contatar",T20="Instagram",AG20="Não"),"Descartar",IF(OR(Y20&lt;&gt;"Verificado",U20="",W20="",X20="",Z20="",AA20="",AE20="",AF20="",AG20&lt;&gt;"Sim, confirmado",AH20=""),"Pendente",IF(AND(Z20&gt;=7,AA20&gt;=6),"Alta",IF(AND(Z20&gt;=5,AA20&gt;=4),"Média","Baixa")))))</f>
        <v/>
      </c>
      <c r="AE20" s="29" t="n"/>
      <c r="AF20" s="29" t="n"/>
      <c r="AG20" s="29" t="n"/>
      <c r="AH20" s="29" t="n"/>
      <c r="AI20" s="30">
        <f>IF(A20="","",IF(AE20="","País a verificar",IF(AE20="Brasil","Brasil","FORA DO BRASIL · "&amp;AE20)))</f>
        <v/>
      </c>
    </row>
    <row r="21" ht="28" customHeight="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7" t="n"/>
      <c r="K21" s="7" t="n"/>
      <c r="L21" s="6" t="n"/>
      <c r="M21" s="6" t="n"/>
      <c r="N21" s="8" t="n"/>
      <c r="O21" s="8" t="n"/>
      <c r="P21" s="7" t="n"/>
      <c r="Q21" s="6" t="n"/>
      <c r="R21" s="6" t="n"/>
      <c r="S21" s="9">
        <f>IF(A21="","",IF(M21="Não contatar","Não contatar",IF(OR(H21="Fechado",H21="Perdido"),"Encerrado",IF(K21="","Sem data",IF(K21&lt;TODAY(),"Atrasado",IF(K21=TODAY(),"Hoje","Agendado")))))))</f>
        <v/>
      </c>
      <c r="T21" s="18" t="n"/>
      <c r="U21" s="18" t="n"/>
      <c r="V21" s="18" t="n"/>
      <c r="W21" s="18" t="n"/>
      <c r="X21" s="19" t="n"/>
      <c r="Y21" s="18" t="n"/>
      <c r="Z21" s="20" t="n"/>
      <c r="AA21" s="20" t="n"/>
      <c r="AB21" s="21" t="n"/>
      <c r="AC21" s="21" t="n"/>
      <c r="AD21" s="22">
        <f>IF(A21="","",IF(OR(Y21="Descartado",M21="Não contatar",T21="Instagram",AG21="Não"),"Descartar",IF(OR(Y21&lt;&gt;"Verificado",U21="",W21="",X21="",Z21="",AA21="",AE21="",AF21="",AG21&lt;&gt;"Sim, confirmado",AH21=""),"Pendente",IF(AND(Z21&gt;=7,AA21&gt;=6),"Alta",IF(AND(Z21&gt;=5,AA21&gt;=4),"Média","Baixa")))))</f>
        <v/>
      </c>
      <c r="AE21" s="29" t="n"/>
      <c r="AF21" s="29" t="n"/>
      <c r="AG21" s="29" t="n"/>
      <c r="AH21" s="29" t="n"/>
      <c r="AI21" s="30">
        <f>IF(A21="","",IF(AE21="","País a verificar",IF(AE21="Brasil","Brasil","FORA DO BRASIL · "&amp;AE21)))</f>
        <v/>
      </c>
    </row>
    <row r="22" ht="28" customHeight="1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7" t="n"/>
      <c r="K22" s="7" t="n"/>
      <c r="L22" s="6" t="n"/>
      <c r="M22" s="6" t="n"/>
      <c r="N22" s="8" t="n"/>
      <c r="O22" s="8" t="n"/>
      <c r="P22" s="7" t="n"/>
      <c r="Q22" s="6" t="n"/>
      <c r="R22" s="6" t="n"/>
      <c r="S22" s="9">
        <f>IF(A22="","",IF(M22="Não contatar","Não contatar",IF(OR(H22="Fechado",H22="Perdido"),"Encerrado",IF(K22="","Sem data",IF(K22&lt;TODAY(),"Atrasado",IF(K22=TODAY(),"Hoje","Agendado")))))))</f>
        <v/>
      </c>
      <c r="T22" s="18" t="n"/>
      <c r="U22" s="18" t="n"/>
      <c r="V22" s="18" t="n"/>
      <c r="W22" s="18" t="n"/>
      <c r="X22" s="19" t="n"/>
      <c r="Y22" s="18" t="n"/>
      <c r="Z22" s="20" t="n"/>
      <c r="AA22" s="20" t="n"/>
      <c r="AB22" s="21" t="n"/>
      <c r="AC22" s="21" t="n"/>
      <c r="AD22" s="22">
        <f>IF(A22="","",IF(OR(Y22="Descartado",M22="Não contatar",T22="Instagram",AG22="Não"),"Descartar",IF(OR(Y22&lt;&gt;"Verificado",U22="",W22="",X22="",Z22="",AA22="",AE22="",AF22="",AG22&lt;&gt;"Sim, confirmado",AH22=""),"Pendente",IF(AND(Z22&gt;=7,AA22&gt;=6),"Alta",IF(AND(Z22&gt;=5,AA22&gt;=4),"Média","Baixa")))))</f>
        <v/>
      </c>
      <c r="AE22" s="29" t="n"/>
      <c r="AF22" s="29" t="n"/>
      <c r="AG22" s="29" t="n"/>
      <c r="AH22" s="29" t="n"/>
      <c r="AI22" s="30">
        <f>IF(A22="","",IF(AE22="","País a verificar",IF(AE22="Brasil","Brasil","FORA DO BRASIL · "&amp;AE22)))</f>
        <v/>
      </c>
    </row>
    <row r="23" ht="28" customHeight="1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7" t="n"/>
      <c r="K23" s="7" t="n"/>
      <c r="L23" s="6" t="n"/>
      <c r="M23" s="6" t="n"/>
      <c r="N23" s="8" t="n"/>
      <c r="O23" s="8" t="n"/>
      <c r="P23" s="7" t="n"/>
      <c r="Q23" s="6" t="n"/>
      <c r="R23" s="6" t="n"/>
      <c r="S23" s="9">
        <f>IF(A23="","",IF(M23="Não contatar","Não contatar",IF(OR(H23="Fechado",H23="Perdido"),"Encerrado",IF(K23="","Sem data",IF(K23&lt;TODAY(),"Atrasado",IF(K23=TODAY(),"Hoje","Agendado")))))))</f>
        <v/>
      </c>
      <c r="T23" s="18" t="n"/>
      <c r="U23" s="18" t="n"/>
      <c r="V23" s="18" t="n"/>
      <c r="W23" s="18" t="n"/>
      <c r="X23" s="19" t="n"/>
      <c r="Y23" s="18" t="n"/>
      <c r="Z23" s="20" t="n"/>
      <c r="AA23" s="20" t="n"/>
      <c r="AB23" s="21" t="n"/>
      <c r="AC23" s="21" t="n"/>
      <c r="AD23" s="22">
        <f>IF(A23="","",IF(OR(Y23="Descartado",M23="Não contatar",T23="Instagram",AG23="Não"),"Descartar",IF(OR(Y23&lt;&gt;"Verificado",U23="",W23="",X23="",Z23="",AA23="",AE23="",AF23="",AG23&lt;&gt;"Sim, confirmado",AH23=""),"Pendente",IF(AND(Z23&gt;=7,AA23&gt;=6),"Alta",IF(AND(Z23&gt;=5,AA23&gt;=4),"Média","Baixa")))))</f>
        <v/>
      </c>
      <c r="AE23" s="29" t="n"/>
      <c r="AF23" s="29" t="n"/>
      <c r="AG23" s="29" t="n"/>
      <c r="AH23" s="29" t="n"/>
      <c r="AI23" s="30">
        <f>IF(A23="","",IF(AE23="","País a verificar",IF(AE23="Brasil","Brasil","FORA DO BRASIL · "&amp;AE23)))</f>
        <v/>
      </c>
    </row>
    <row r="24" ht="28" customHeight="1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7" t="n"/>
      <c r="K24" s="7" t="n"/>
      <c r="L24" s="6" t="n"/>
      <c r="M24" s="6" t="n"/>
      <c r="N24" s="8" t="n"/>
      <c r="O24" s="8" t="n"/>
      <c r="P24" s="7" t="n"/>
      <c r="Q24" s="6" t="n"/>
      <c r="R24" s="6" t="n"/>
      <c r="S24" s="9">
        <f>IF(A24="","",IF(M24="Não contatar","Não contatar",IF(OR(H24="Fechado",H24="Perdido"),"Encerrado",IF(K24="","Sem data",IF(K24&lt;TODAY(),"Atrasado",IF(K24=TODAY(),"Hoje","Agendado")))))))</f>
        <v/>
      </c>
      <c r="T24" s="18" t="n"/>
      <c r="U24" s="18" t="n"/>
      <c r="V24" s="18" t="n"/>
      <c r="W24" s="18" t="n"/>
      <c r="X24" s="19" t="n"/>
      <c r="Y24" s="18" t="n"/>
      <c r="Z24" s="20" t="n"/>
      <c r="AA24" s="20" t="n"/>
      <c r="AB24" s="21" t="n"/>
      <c r="AC24" s="21" t="n"/>
      <c r="AD24" s="22">
        <f>IF(A24="","",IF(OR(Y24="Descartado",M24="Não contatar",T24="Instagram",AG24="Não"),"Descartar",IF(OR(Y24&lt;&gt;"Verificado",U24="",W24="",X24="",Z24="",AA24="",AE24="",AF24="",AG24&lt;&gt;"Sim, confirmado",AH24=""),"Pendente",IF(AND(Z24&gt;=7,AA24&gt;=6),"Alta",IF(AND(Z24&gt;=5,AA24&gt;=4),"Média","Baixa")))))</f>
        <v/>
      </c>
      <c r="AE24" s="29" t="n"/>
      <c r="AF24" s="29" t="n"/>
      <c r="AG24" s="29" t="n"/>
      <c r="AH24" s="29" t="n"/>
      <c r="AI24" s="30">
        <f>IF(A24="","",IF(AE24="","País a verificar",IF(AE24="Brasil","Brasil","FORA DO BRASIL · "&amp;AE24)))</f>
        <v/>
      </c>
    </row>
    <row r="25" ht="28" customHeight="1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7" t="n"/>
      <c r="K25" s="7" t="n"/>
      <c r="L25" s="6" t="n"/>
      <c r="M25" s="6" t="n"/>
      <c r="N25" s="8" t="n"/>
      <c r="O25" s="8" t="n"/>
      <c r="P25" s="7" t="n"/>
      <c r="Q25" s="6" t="n"/>
      <c r="R25" s="6" t="n"/>
      <c r="S25" s="9">
        <f>IF(A25="","",IF(M25="Não contatar","Não contatar",IF(OR(H25="Fechado",H25="Perdido"),"Encerrado",IF(K25="","Sem data",IF(K25&lt;TODAY(),"Atrasado",IF(K25=TODAY(),"Hoje","Agendado")))))))</f>
        <v/>
      </c>
      <c r="T25" s="18" t="n"/>
      <c r="U25" s="18" t="n"/>
      <c r="V25" s="18" t="n"/>
      <c r="W25" s="18" t="n"/>
      <c r="X25" s="19" t="n"/>
      <c r="Y25" s="18" t="n"/>
      <c r="Z25" s="20" t="n"/>
      <c r="AA25" s="20" t="n"/>
      <c r="AB25" s="21" t="n"/>
      <c r="AC25" s="21" t="n"/>
      <c r="AD25" s="22">
        <f>IF(A25="","",IF(OR(Y25="Descartado",M25="Não contatar",T25="Instagram",AG25="Não"),"Descartar",IF(OR(Y25&lt;&gt;"Verificado",U25="",W25="",X25="",Z25="",AA25="",AE25="",AF25="",AG25&lt;&gt;"Sim, confirmado",AH25=""),"Pendente",IF(AND(Z25&gt;=7,AA25&gt;=6),"Alta",IF(AND(Z25&gt;=5,AA25&gt;=4),"Média","Baixa")))))</f>
        <v/>
      </c>
      <c r="AE25" s="29" t="n"/>
      <c r="AF25" s="29" t="n"/>
      <c r="AG25" s="29" t="n"/>
      <c r="AH25" s="29" t="n"/>
      <c r="AI25" s="30">
        <f>IF(A25="","",IF(AE25="","País a verificar",IF(AE25="Brasil","Brasil","FORA DO BRASIL · "&amp;AE25)))</f>
        <v/>
      </c>
    </row>
    <row r="26" ht="28" customHeight="1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7" t="n"/>
      <c r="K26" s="7" t="n"/>
      <c r="L26" s="6" t="n"/>
      <c r="M26" s="6" t="n"/>
      <c r="N26" s="8" t="n"/>
      <c r="O26" s="8" t="n"/>
      <c r="P26" s="7" t="n"/>
      <c r="Q26" s="6" t="n"/>
      <c r="R26" s="6" t="n"/>
      <c r="S26" s="9">
        <f>IF(A26="","",IF(M26="Não contatar","Não contatar",IF(OR(H26="Fechado",H26="Perdido"),"Encerrado",IF(K26="","Sem data",IF(K26&lt;TODAY(),"Atrasado",IF(K26=TODAY(),"Hoje","Agendado")))))))</f>
        <v/>
      </c>
      <c r="T26" s="18" t="n"/>
      <c r="U26" s="18" t="n"/>
      <c r="V26" s="18" t="n"/>
      <c r="W26" s="18" t="n"/>
      <c r="X26" s="19" t="n"/>
      <c r="Y26" s="18" t="n"/>
      <c r="Z26" s="20" t="n"/>
      <c r="AA26" s="20" t="n"/>
      <c r="AB26" s="21" t="n"/>
      <c r="AC26" s="21" t="n"/>
      <c r="AD26" s="22">
        <f>IF(A26="","",IF(OR(Y26="Descartado",M26="Não contatar",T26="Instagram",AG26="Não"),"Descartar",IF(OR(Y26&lt;&gt;"Verificado",U26="",W26="",X26="",Z26="",AA26="",AE26="",AF26="",AG26&lt;&gt;"Sim, confirmado",AH26=""),"Pendente",IF(AND(Z26&gt;=7,AA26&gt;=6),"Alta",IF(AND(Z26&gt;=5,AA26&gt;=4),"Média","Baixa")))))</f>
        <v/>
      </c>
      <c r="AE26" s="29" t="n"/>
      <c r="AF26" s="29" t="n"/>
      <c r="AG26" s="29" t="n"/>
      <c r="AH26" s="29" t="n"/>
      <c r="AI26" s="30">
        <f>IF(A26="","",IF(AE26="","País a verificar",IF(AE26="Brasil","Brasil","FORA DO BRASIL · "&amp;AE26)))</f>
        <v/>
      </c>
    </row>
    <row r="27" ht="28" customHeight="1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7" t="n"/>
      <c r="K27" s="7" t="n"/>
      <c r="L27" s="6" t="n"/>
      <c r="M27" s="6" t="n"/>
      <c r="N27" s="8" t="n"/>
      <c r="O27" s="8" t="n"/>
      <c r="P27" s="7" t="n"/>
      <c r="Q27" s="6" t="n"/>
      <c r="R27" s="6" t="n"/>
      <c r="S27" s="9">
        <f>IF(A27="","",IF(M27="Não contatar","Não contatar",IF(OR(H27="Fechado",H27="Perdido"),"Encerrado",IF(K27="","Sem data",IF(K27&lt;TODAY(),"Atrasado",IF(K27=TODAY(),"Hoje","Agendado")))))))</f>
        <v/>
      </c>
      <c r="T27" s="18" t="n"/>
      <c r="U27" s="18" t="n"/>
      <c r="V27" s="18" t="n"/>
      <c r="W27" s="18" t="n"/>
      <c r="X27" s="19" t="n"/>
      <c r="Y27" s="18" t="n"/>
      <c r="Z27" s="20" t="n"/>
      <c r="AA27" s="20" t="n"/>
      <c r="AB27" s="21" t="n"/>
      <c r="AC27" s="21" t="n"/>
      <c r="AD27" s="22">
        <f>IF(A27="","",IF(OR(Y27="Descartado",M27="Não contatar",T27="Instagram",AG27="Não"),"Descartar",IF(OR(Y27&lt;&gt;"Verificado",U27="",W27="",X27="",Z27="",AA27="",AE27="",AF27="",AG27&lt;&gt;"Sim, confirmado",AH27=""),"Pendente",IF(AND(Z27&gt;=7,AA27&gt;=6),"Alta",IF(AND(Z27&gt;=5,AA27&gt;=4),"Média","Baixa")))))</f>
        <v/>
      </c>
      <c r="AE27" s="29" t="n"/>
      <c r="AF27" s="29" t="n"/>
      <c r="AG27" s="29" t="n"/>
      <c r="AH27" s="29" t="n"/>
      <c r="AI27" s="30">
        <f>IF(A27="","",IF(AE27="","País a verificar",IF(AE27="Brasil","Brasil","FORA DO BRASIL · "&amp;AE27)))</f>
        <v/>
      </c>
    </row>
    <row r="28" ht="28" customHeight="1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7" t="n"/>
      <c r="K28" s="7" t="n"/>
      <c r="L28" s="6" t="n"/>
      <c r="M28" s="6" t="n"/>
      <c r="N28" s="8" t="n"/>
      <c r="O28" s="8" t="n"/>
      <c r="P28" s="7" t="n"/>
      <c r="Q28" s="6" t="n"/>
      <c r="R28" s="6" t="n"/>
      <c r="S28" s="9">
        <f>IF(A28="","",IF(M28="Não contatar","Não contatar",IF(OR(H28="Fechado",H28="Perdido"),"Encerrado",IF(K28="","Sem data",IF(K28&lt;TODAY(),"Atrasado",IF(K28=TODAY(),"Hoje","Agendado")))))))</f>
        <v/>
      </c>
      <c r="T28" s="18" t="n"/>
      <c r="U28" s="18" t="n"/>
      <c r="V28" s="18" t="n"/>
      <c r="W28" s="18" t="n"/>
      <c r="X28" s="19" t="n"/>
      <c r="Y28" s="18" t="n"/>
      <c r="Z28" s="20" t="n"/>
      <c r="AA28" s="20" t="n"/>
      <c r="AB28" s="21" t="n"/>
      <c r="AC28" s="21" t="n"/>
      <c r="AD28" s="22">
        <f>IF(A28="","",IF(OR(Y28="Descartado",M28="Não contatar",T28="Instagram",AG28="Não"),"Descartar",IF(OR(Y28&lt;&gt;"Verificado",U28="",W28="",X28="",Z28="",AA28="",AE28="",AF28="",AG28&lt;&gt;"Sim, confirmado",AH28=""),"Pendente",IF(AND(Z28&gt;=7,AA28&gt;=6),"Alta",IF(AND(Z28&gt;=5,AA28&gt;=4),"Média","Baixa")))))</f>
        <v/>
      </c>
      <c r="AE28" s="29" t="n"/>
      <c r="AF28" s="29" t="n"/>
      <c r="AG28" s="29" t="n"/>
      <c r="AH28" s="29" t="n"/>
      <c r="AI28" s="30">
        <f>IF(A28="","",IF(AE28="","País a verificar",IF(AE28="Brasil","Brasil","FORA DO BRASIL · "&amp;AE28)))</f>
        <v/>
      </c>
    </row>
    <row r="29" ht="28" customHeight="1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7" t="n"/>
      <c r="K29" s="7" t="n"/>
      <c r="L29" s="6" t="n"/>
      <c r="M29" s="6" t="n"/>
      <c r="N29" s="8" t="n"/>
      <c r="O29" s="8" t="n"/>
      <c r="P29" s="7" t="n"/>
      <c r="Q29" s="6" t="n"/>
      <c r="R29" s="6" t="n"/>
      <c r="S29" s="9">
        <f>IF(A29="","",IF(M29="Não contatar","Não contatar",IF(OR(H29="Fechado",H29="Perdido"),"Encerrado",IF(K29="","Sem data",IF(K29&lt;TODAY(),"Atrasado",IF(K29=TODAY(),"Hoje","Agendado")))))))</f>
        <v/>
      </c>
      <c r="T29" s="18" t="n"/>
      <c r="U29" s="18" t="n"/>
      <c r="V29" s="18" t="n"/>
      <c r="W29" s="18" t="n"/>
      <c r="X29" s="19" t="n"/>
      <c r="Y29" s="18" t="n"/>
      <c r="Z29" s="20" t="n"/>
      <c r="AA29" s="20" t="n"/>
      <c r="AB29" s="21" t="n"/>
      <c r="AC29" s="21" t="n"/>
      <c r="AD29" s="22">
        <f>IF(A29="","",IF(OR(Y29="Descartado",M29="Não contatar",T29="Instagram",AG29="Não"),"Descartar",IF(OR(Y29&lt;&gt;"Verificado",U29="",W29="",X29="",Z29="",AA29="",AE29="",AF29="",AG29&lt;&gt;"Sim, confirmado",AH29=""),"Pendente",IF(AND(Z29&gt;=7,AA29&gt;=6),"Alta",IF(AND(Z29&gt;=5,AA29&gt;=4),"Média","Baixa")))))</f>
        <v/>
      </c>
      <c r="AE29" s="29" t="n"/>
      <c r="AF29" s="29" t="n"/>
      <c r="AG29" s="29" t="n"/>
      <c r="AH29" s="29" t="n"/>
      <c r="AI29" s="30">
        <f>IF(A29="","",IF(AE29="","País a verificar",IF(AE29="Brasil","Brasil","FORA DO BRASIL · "&amp;AE29)))</f>
        <v/>
      </c>
    </row>
    <row r="30" ht="28" customHeight="1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7" t="n"/>
      <c r="K30" s="7" t="n"/>
      <c r="L30" s="6" t="n"/>
      <c r="M30" s="6" t="n"/>
      <c r="N30" s="8" t="n"/>
      <c r="O30" s="8" t="n"/>
      <c r="P30" s="7" t="n"/>
      <c r="Q30" s="6" t="n"/>
      <c r="R30" s="6" t="n"/>
      <c r="S30" s="9">
        <f>IF(A30="","",IF(M30="Não contatar","Não contatar",IF(OR(H30="Fechado",H30="Perdido"),"Encerrado",IF(K30="","Sem data",IF(K30&lt;TODAY(),"Atrasado",IF(K30=TODAY(),"Hoje","Agendado")))))))</f>
        <v/>
      </c>
      <c r="T30" s="18" t="n"/>
      <c r="U30" s="18" t="n"/>
      <c r="V30" s="18" t="n"/>
      <c r="W30" s="18" t="n"/>
      <c r="X30" s="19" t="n"/>
      <c r="Y30" s="18" t="n"/>
      <c r="Z30" s="20" t="n"/>
      <c r="AA30" s="20" t="n"/>
      <c r="AB30" s="21" t="n"/>
      <c r="AC30" s="21" t="n"/>
      <c r="AD30" s="22">
        <f>IF(A30="","",IF(OR(Y30="Descartado",M30="Não contatar",T30="Instagram",AG30="Não"),"Descartar",IF(OR(Y30&lt;&gt;"Verificado",U30="",W30="",X30="",Z30="",AA30="",AE30="",AF30="",AG30&lt;&gt;"Sim, confirmado",AH30=""),"Pendente",IF(AND(Z30&gt;=7,AA30&gt;=6),"Alta",IF(AND(Z30&gt;=5,AA30&gt;=4),"Média","Baixa")))))</f>
        <v/>
      </c>
      <c r="AE30" s="29" t="n"/>
      <c r="AF30" s="29" t="n"/>
      <c r="AG30" s="29" t="n"/>
      <c r="AH30" s="29" t="n"/>
      <c r="AI30" s="30">
        <f>IF(A30="","",IF(AE30="","País a verificar",IF(AE30="Brasil","Brasil","FORA DO BRASIL · "&amp;AE30)))</f>
        <v/>
      </c>
    </row>
    <row r="31" ht="28" customHeight="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7" t="n"/>
      <c r="K31" s="7" t="n"/>
      <c r="L31" s="6" t="n"/>
      <c r="M31" s="6" t="n"/>
      <c r="N31" s="8" t="n"/>
      <c r="O31" s="8" t="n"/>
      <c r="P31" s="7" t="n"/>
      <c r="Q31" s="6" t="n"/>
      <c r="R31" s="6" t="n"/>
      <c r="S31" s="9">
        <f>IF(A31="","",IF(M31="Não contatar","Não contatar",IF(OR(H31="Fechado",H31="Perdido"),"Encerrado",IF(K31="","Sem data",IF(K31&lt;TODAY(),"Atrasado",IF(K31=TODAY(),"Hoje","Agendado")))))))</f>
        <v/>
      </c>
      <c r="T31" s="18" t="n"/>
      <c r="U31" s="18" t="n"/>
      <c r="V31" s="18" t="n"/>
      <c r="W31" s="18" t="n"/>
      <c r="X31" s="19" t="n"/>
      <c r="Y31" s="18" t="n"/>
      <c r="Z31" s="20" t="n"/>
      <c r="AA31" s="20" t="n"/>
      <c r="AB31" s="21" t="n"/>
      <c r="AC31" s="21" t="n"/>
      <c r="AD31" s="22">
        <f>IF(A31="","",IF(OR(Y31="Descartado",M31="Não contatar",T31="Instagram",AG31="Não"),"Descartar",IF(OR(Y31&lt;&gt;"Verificado",U31="",W31="",X31="",Z31="",AA31="",AE31="",AF31="",AG31&lt;&gt;"Sim, confirmado",AH31=""),"Pendente",IF(AND(Z31&gt;=7,AA31&gt;=6),"Alta",IF(AND(Z31&gt;=5,AA31&gt;=4),"Média","Baixa")))))</f>
        <v/>
      </c>
      <c r="AE31" s="29" t="n"/>
      <c r="AF31" s="29" t="n"/>
      <c r="AG31" s="29" t="n"/>
      <c r="AH31" s="29" t="n"/>
      <c r="AI31" s="30">
        <f>IF(A31="","",IF(AE31="","País a verificar",IF(AE31="Brasil","Brasil","FORA DO BRASIL · "&amp;AE31)))</f>
        <v/>
      </c>
    </row>
    <row r="32" ht="28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7" t="n"/>
      <c r="K32" s="7" t="n"/>
      <c r="L32" s="6" t="n"/>
      <c r="M32" s="6" t="n"/>
      <c r="N32" s="8" t="n"/>
      <c r="O32" s="8" t="n"/>
      <c r="P32" s="7" t="n"/>
      <c r="Q32" s="6" t="n"/>
      <c r="R32" s="6" t="n"/>
      <c r="S32" s="9">
        <f>IF(A32="","",IF(M32="Não contatar","Não contatar",IF(OR(H32="Fechado",H32="Perdido"),"Encerrado",IF(K32="","Sem data",IF(K32&lt;TODAY(),"Atrasado",IF(K32=TODAY(),"Hoje","Agendado")))))))</f>
        <v/>
      </c>
      <c r="T32" s="18" t="n"/>
      <c r="U32" s="18" t="n"/>
      <c r="V32" s="18" t="n"/>
      <c r="W32" s="18" t="n"/>
      <c r="X32" s="19" t="n"/>
      <c r="Y32" s="18" t="n"/>
      <c r="Z32" s="20" t="n"/>
      <c r="AA32" s="20" t="n"/>
      <c r="AB32" s="21" t="n"/>
      <c r="AC32" s="21" t="n"/>
      <c r="AD32" s="22">
        <f>IF(A32="","",IF(OR(Y32="Descartado",M32="Não contatar",T32="Instagram",AG32="Não"),"Descartar",IF(OR(Y32&lt;&gt;"Verificado",U32="",W32="",X32="",Z32="",AA32="",AE32="",AF32="",AG32&lt;&gt;"Sim, confirmado",AH32=""),"Pendente",IF(AND(Z32&gt;=7,AA32&gt;=6),"Alta",IF(AND(Z32&gt;=5,AA32&gt;=4),"Média","Baixa")))))</f>
        <v/>
      </c>
      <c r="AE32" s="29" t="n"/>
      <c r="AF32" s="29" t="n"/>
      <c r="AG32" s="29" t="n"/>
      <c r="AH32" s="29" t="n"/>
      <c r="AI32" s="30">
        <f>IF(A32="","",IF(AE32="","País a verificar",IF(AE32="Brasil","Brasil","FORA DO BRASIL · "&amp;AE32)))</f>
        <v/>
      </c>
    </row>
    <row r="33" ht="28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7" t="n"/>
      <c r="K33" s="7" t="n"/>
      <c r="L33" s="6" t="n"/>
      <c r="M33" s="6" t="n"/>
      <c r="N33" s="8" t="n"/>
      <c r="O33" s="8" t="n"/>
      <c r="P33" s="7" t="n"/>
      <c r="Q33" s="6" t="n"/>
      <c r="R33" s="6" t="n"/>
      <c r="S33" s="9">
        <f>IF(A33="","",IF(M33="Não contatar","Não contatar",IF(OR(H33="Fechado",H33="Perdido"),"Encerrado",IF(K33="","Sem data",IF(K33&lt;TODAY(),"Atrasado",IF(K33=TODAY(),"Hoje","Agendado")))))))</f>
        <v/>
      </c>
      <c r="T33" s="18" t="n"/>
      <c r="U33" s="18" t="n"/>
      <c r="V33" s="18" t="n"/>
      <c r="W33" s="18" t="n"/>
      <c r="X33" s="19" t="n"/>
      <c r="Y33" s="18" t="n"/>
      <c r="Z33" s="20" t="n"/>
      <c r="AA33" s="20" t="n"/>
      <c r="AB33" s="21" t="n"/>
      <c r="AC33" s="21" t="n"/>
      <c r="AD33" s="22">
        <f>IF(A33="","",IF(OR(Y33="Descartado",M33="Não contatar",T33="Instagram",AG33="Não"),"Descartar",IF(OR(Y33&lt;&gt;"Verificado",U33="",W33="",X33="",Z33="",AA33="",AE33="",AF33="",AG33&lt;&gt;"Sim, confirmado",AH33=""),"Pendente",IF(AND(Z33&gt;=7,AA33&gt;=6),"Alta",IF(AND(Z33&gt;=5,AA33&gt;=4),"Média","Baixa")))))</f>
        <v/>
      </c>
      <c r="AE33" s="29" t="n"/>
      <c r="AF33" s="29" t="n"/>
      <c r="AG33" s="29" t="n"/>
      <c r="AH33" s="29" t="n"/>
      <c r="AI33" s="30">
        <f>IF(A33="","",IF(AE33="","País a verificar",IF(AE33="Brasil","Brasil","FORA DO BRASIL · "&amp;AE33)))</f>
        <v/>
      </c>
    </row>
    <row r="34" ht="28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7" t="n"/>
      <c r="K34" s="7" t="n"/>
      <c r="L34" s="6" t="n"/>
      <c r="M34" s="6" t="n"/>
      <c r="N34" s="8" t="n"/>
      <c r="O34" s="8" t="n"/>
      <c r="P34" s="7" t="n"/>
      <c r="Q34" s="6" t="n"/>
      <c r="R34" s="6" t="n"/>
      <c r="S34" s="9">
        <f>IF(A34="","",IF(M34="Não contatar","Não contatar",IF(OR(H34="Fechado",H34="Perdido"),"Encerrado",IF(K34="","Sem data",IF(K34&lt;TODAY(),"Atrasado",IF(K34=TODAY(),"Hoje","Agendado")))))))</f>
        <v/>
      </c>
      <c r="T34" s="18" t="n"/>
      <c r="U34" s="18" t="n"/>
      <c r="V34" s="18" t="n"/>
      <c r="W34" s="18" t="n"/>
      <c r="X34" s="19" t="n"/>
      <c r="Y34" s="18" t="n"/>
      <c r="Z34" s="20" t="n"/>
      <c r="AA34" s="20" t="n"/>
      <c r="AB34" s="21" t="n"/>
      <c r="AC34" s="21" t="n"/>
      <c r="AD34" s="22">
        <f>IF(A34="","",IF(OR(Y34="Descartado",M34="Não contatar",T34="Instagram",AG34="Não"),"Descartar",IF(OR(Y34&lt;&gt;"Verificado",U34="",W34="",X34="",Z34="",AA34="",AE34="",AF34="",AG34&lt;&gt;"Sim, confirmado",AH34=""),"Pendente",IF(AND(Z34&gt;=7,AA34&gt;=6),"Alta",IF(AND(Z34&gt;=5,AA34&gt;=4),"Média","Baixa")))))</f>
        <v/>
      </c>
      <c r="AE34" s="29" t="n"/>
      <c r="AF34" s="29" t="n"/>
      <c r="AG34" s="29" t="n"/>
      <c r="AH34" s="29" t="n"/>
      <c r="AI34" s="30">
        <f>IF(A34="","",IF(AE34="","País a verificar",IF(AE34="Brasil","Brasil","FORA DO BRASIL · "&amp;AE34)))</f>
        <v/>
      </c>
    </row>
    <row r="35" ht="28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7" t="n"/>
      <c r="K35" s="7" t="n"/>
      <c r="L35" s="6" t="n"/>
      <c r="M35" s="6" t="n"/>
      <c r="N35" s="8" t="n"/>
      <c r="O35" s="8" t="n"/>
      <c r="P35" s="7" t="n"/>
      <c r="Q35" s="6" t="n"/>
      <c r="R35" s="6" t="n"/>
      <c r="S35" s="9">
        <f>IF(A35="","",IF(M35="Não contatar","Não contatar",IF(OR(H35="Fechado",H35="Perdido"),"Encerrado",IF(K35="","Sem data",IF(K35&lt;TODAY(),"Atrasado",IF(K35=TODAY(),"Hoje","Agendado")))))))</f>
        <v/>
      </c>
      <c r="T35" s="18" t="n"/>
      <c r="U35" s="18" t="n"/>
      <c r="V35" s="18" t="n"/>
      <c r="W35" s="18" t="n"/>
      <c r="X35" s="19" t="n"/>
      <c r="Y35" s="18" t="n"/>
      <c r="Z35" s="20" t="n"/>
      <c r="AA35" s="20" t="n"/>
      <c r="AB35" s="21" t="n"/>
      <c r="AC35" s="21" t="n"/>
      <c r="AD35" s="22">
        <f>IF(A35="","",IF(OR(Y35="Descartado",M35="Não contatar",T35="Instagram",AG35="Não"),"Descartar",IF(OR(Y35&lt;&gt;"Verificado",U35="",W35="",X35="",Z35="",AA35="",AE35="",AF35="",AG35&lt;&gt;"Sim, confirmado",AH35=""),"Pendente",IF(AND(Z35&gt;=7,AA35&gt;=6),"Alta",IF(AND(Z35&gt;=5,AA35&gt;=4),"Média","Baixa")))))</f>
        <v/>
      </c>
      <c r="AE35" s="29" t="n"/>
      <c r="AF35" s="29" t="n"/>
      <c r="AG35" s="29" t="n"/>
      <c r="AH35" s="29" t="n"/>
      <c r="AI35" s="30">
        <f>IF(A35="","",IF(AE35="","País a verificar",IF(AE35="Brasil","Brasil","FORA DO BRASIL · "&amp;AE35)))</f>
        <v/>
      </c>
    </row>
    <row r="36" ht="28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7" t="n"/>
      <c r="K36" s="7" t="n"/>
      <c r="L36" s="6" t="n"/>
      <c r="M36" s="6" t="n"/>
      <c r="N36" s="8" t="n"/>
      <c r="O36" s="8" t="n"/>
      <c r="P36" s="7" t="n"/>
      <c r="Q36" s="6" t="n"/>
      <c r="R36" s="6" t="n"/>
      <c r="S36" s="9">
        <f>IF(A36="","",IF(M36="Não contatar","Não contatar",IF(OR(H36="Fechado",H36="Perdido"),"Encerrado",IF(K36="","Sem data",IF(K36&lt;TODAY(),"Atrasado",IF(K36=TODAY(),"Hoje","Agendado")))))))</f>
        <v/>
      </c>
      <c r="T36" s="18" t="n"/>
      <c r="U36" s="18" t="n"/>
      <c r="V36" s="18" t="n"/>
      <c r="W36" s="18" t="n"/>
      <c r="X36" s="19" t="n"/>
      <c r="Y36" s="18" t="n"/>
      <c r="Z36" s="20" t="n"/>
      <c r="AA36" s="20" t="n"/>
      <c r="AB36" s="21" t="n"/>
      <c r="AC36" s="21" t="n"/>
      <c r="AD36" s="22">
        <f>IF(A36="","",IF(OR(Y36="Descartado",M36="Não contatar",T36="Instagram",AG36="Não"),"Descartar",IF(OR(Y36&lt;&gt;"Verificado",U36="",W36="",X36="",Z36="",AA36="",AE36="",AF36="",AG36&lt;&gt;"Sim, confirmado",AH36=""),"Pendente",IF(AND(Z36&gt;=7,AA36&gt;=6),"Alta",IF(AND(Z36&gt;=5,AA36&gt;=4),"Média","Baixa")))))</f>
        <v/>
      </c>
      <c r="AE36" s="29" t="n"/>
      <c r="AF36" s="29" t="n"/>
      <c r="AG36" s="29" t="n"/>
      <c r="AH36" s="29" t="n"/>
      <c r="AI36" s="30">
        <f>IF(A36="","",IF(AE36="","País a verificar",IF(AE36="Brasil","Brasil","FORA DO BRASIL · "&amp;AE36)))</f>
        <v/>
      </c>
    </row>
    <row r="37" ht="28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7" t="n"/>
      <c r="K37" s="7" t="n"/>
      <c r="L37" s="6" t="n"/>
      <c r="M37" s="6" t="n"/>
      <c r="N37" s="8" t="n"/>
      <c r="O37" s="8" t="n"/>
      <c r="P37" s="7" t="n"/>
      <c r="Q37" s="6" t="n"/>
      <c r="R37" s="6" t="n"/>
      <c r="S37" s="9">
        <f>IF(A37="","",IF(M37="Não contatar","Não contatar",IF(OR(H37="Fechado",H37="Perdido"),"Encerrado",IF(K37="","Sem data",IF(K37&lt;TODAY(),"Atrasado",IF(K37=TODAY(),"Hoje","Agendado")))))))</f>
        <v/>
      </c>
      <c r="T37" s="18" t="n"/>
      <c r="U37" s="18" t="n"/>
      <c r="V37" s="18" t="n"/>
      <c r="W37" s="18" t="n"/>
      <c r="X37" s="19" t="n"/>
      <c r="Y37" s="18" t="n"/>
      <c r="Z37" s="20" t="n"/>
      <c r="AA37" s="20" t="n"/>
      <c r="AB37" s="21" t="n"/>
      <c r="AC37" s="21" t="n"/>
      <c r="AD37" s="22">
        <f>IF(A37="","",IF(OR(Y37="Descartado",M37="Não contatar",T37="Instagram",AG37="Não"),"Descartar",IF(OR(Y37&lt;&gt;"Verificado",U37="",W37="",X37="",Z37="",AA37="",AE37="",AF37="",AG37&lt;&gt;"Sim, confirmado",AH37=""),"Pendente",IF(AND(Z37&gt;=7,AA37&gt;=6),"Alta",IF(AND(Z37&gt;=5,AA37&gt;=4),"Média","Baixa")))))</f>
        <v/>
      </c>
      <c r="AE37" s="29" t="n"/>
      <c r="AF37" s="29" t="n"/>
      <c r="AG37" s="29" t="n"/>
      <c r="AH37" s="29" t="n"/>
      <c r="AI37" s="30">
        <f>IF(A37="","",IF(AE37="","País a verificar",IF(AE37="Brasil","Brasil","FORA DO BRASIL · "&amp;AE37)))</f>
        <v/>
      </c>
    </row>
    <row r="38" ht="28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7" t="n"/>
      <c r="K38" s="7" t="n"/>
      <c r="L38" s="6" t="n"/>
      <c r="M38" s="6" t="n"/>
      <c r="N38" s="8" t="n"/>
      <c r="O38" s="8" t="n"/>
      <c r="P38" s="7" t="n"/>
      <c r="Q38" s="6" t="n"/>
      <c r="R38" s="6" t="n"/>
      <c r="S38" s="9">
        <f>IF(A38="","",IF(M38="Não contatar","Não contatar",IF(OR(H38="Fechado",H38="Perdido"),"Encerrado",IF(K38="","Sem data",IF(K38&lt;TODAY(),"Atrasado",IF(K38=TODAY(),"Hoje","Agendado")))))))</f>
        <v/>
      </c>
      <c r="T38" s="18" t="n"/>
      <c r="U38" s="18" t="n"/>
      <c r="V38" s="18" t="n"/>
      <c r="W38" s="18" t="n"/>
      <c r="X38" s="19" t="n"/>
      <c r="Y38" s="18" t="n"/>
      <c r="Z38" s="20" t="n"/>
      <c r="AA38" s="20" t="n"/>
      <c r="AB38" s="21" t="n"/>
      <c r="AC38" s="21" t="n"/>
      <c r="AD38" s="22">
        <f>IF(A38="","",IF(OR(Y38="Descartado",M38="Não contatar",T38="Instagram",AG38="Não"),"Descartar",IF(OR(Y38&lt;&gt;"Verificado",U38="",W38="",X38="",Z38="",AA38="",AE38="",AF38="",AG38&lt;&gt;"Sim, confirmado",AH38=""),"Pendente",IF(AND(Z38&gt;=7,AA38&gt;=6),"Alta",IF(AND(Z38&gt;=5,AA38&gt;=4),"Média","Baixa")))))</f>
        <v/>
      </c>
      <c r="AE38" s="29" t="n"/>
      <c r="AF38" s="29" t="n"/>
      <c r="AG38" s="29" t="n"/>
      <c r="AH38" s="29" t="n"/>
      <c r="AI38" s="30">
        <f>IF(A38="","",IF(AE38="","País a verificar",IF(AE38="Brasil","Brasil","FORA DO BRASIL · "&amp;AE38)))</f>
        <v/>
      </c>
    </row>
    <row r="39" ht="28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7" t="n"/>
      <c r="K39" s="7" t="n"/>
      <c r="L39" s="6" t="n"/>
      <c r="M39" s="6" t="n"/>
      <c r="N39" s="8" t="n"/>
      <c r="O39" s="8" t="n"/>
      <c r="P39" s="7" t="n"/>
      <c r="Q39" s="6" t="n"/>
      <c r="R39" s="6" t="n"/>
      <c r="S39" s="9">
        <f>IF(A39="","",IF(M39="Não contatar","Não contatar",IF(OR(H39="Fechado",H39="Perdido"),"Encerrado",IF(K39="","Sem data",IF(K39&lt;TODAY(),"Atrasado",IF(K39=TODAY(),"Hoje","Agendado")))))))</f>
        <v/>
      </c>
      <c r="T39" s="18" t="n"/>
      <c r="U39" s="18" t="n"/>
      <c r="V39" s="18" t="n"/>
      <c r="W39" s="18" t="n"/>
      <c r="X39" s="19" t="n"/>
      <c r="Y39" s="18" t="n"/>
      <c r="Z39" s="20" t="n"/>
      <c r="AA39" s="20" t="n"/>
      <c r="AB39" s="21" t="n"/>
      <c r="AC39" s="21" t="n"/>
      <c r="AD39" s="22">
        <f>IF(A39="","",IF(OR(Y39="Descartado",M39="Não contatar",T39="Instagram",AG39="Não"),"Descartar",IF(OR(Y39&lt;&gt;"Verificado",U39="",W39="",X39="",Z39="",AA39="",AE39="",AF39="",AG39&lt;&gt;"Sim, confirmado",AH39=""),"Pendente",IF(AND(Z39&gt;=7,AA39&gt;=6),"Alta",IF(AND(Z39&gt;=5,AA39&gt;=4),"Média","Baixa")))))</f>
        <v/>
      </c>
      <c r="AE39" s="29" t="n"/>
      <c r="AF39" s="29" t="n"/>
      <c r="AG39" s="29" t="n"/>
      <c r="AH39" s="29" t="n"/>
      <c r="AI39" s="30">
        <f>IF(A39="","",IF(AE39="","País a verificar",IF(AE39="Brasil","Brasil","FORA DO BRASIL · "&amp;AE39)))</f>
        <v/>
      </c>
    </row>
    <row r="40" ht="28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7" t="n"/>
      <c r="K40" s="7" t="n"/>
      <c r="L40" s="6" t="n"/>
      <c r="M40" s="6" t="n"/>
      <c r="N40" s="8" t="n"/>
      <c r="O40" s="8" t="n"/>
      <c r="P40" s="7" t="n"/>
      <c r="Q40" s="6" t="n"/>
      <c r="R40" s="6" t="n"/>
      <c r="S40" s="9">
        <f>IF(A40="","",IF(M40="Não contatar","Não contatar",IF(OR(H40="Fechado",H40="Perdido"),"Encerrado",IF(K40="","Sem data",IF(K40&lt;TODAY(),"Atrasado",IF(K40=TODAY(),"Hoje","Agendado")))))))</f>
        <v/>
      </c>
      <c r="T40" s="18" t="n"/>
      <c r="U40" s="18" t="n"/>
      <c r="V40" s="18" t="n"/>
      <c r="W40" s="18" t="n"/>
      <c r="X40" s="19" t="n"/>
      <c r="Y40" s="18" t="n"/>
      <c r="Z40" s="20" t="n"/>
      <c r="AA40" s="20" t="n"/>
      <c r="AB40" s="21" t="n"/>
      <c r="AC40" s="21" t="n"/>
      <c r="AD40" s="22">
        <f>IF(A40="","",IF(OR(Y40="Descartado",M40="Não contatar",T40="Instagram",AG40="Não"),"Descartar",IF(OR(Y40&lt;&gt;"Verificado",U40="",W40="",X40="",Z40="",AA40="",AE40="",AF40="",AG40&lt;&gt;"Sim, confirmado",AH40=""),"Pendente",IF(AND(Z40&gt;=7,AA40&gt;=6),"Alta",IF(AND(Z40&gt;=5,AA40&gt;=4),"Média","Baixa")))))</f>
        <v/>
      </c>
      <c r="AE40" s="29" t="n"/>
      <c r="AF40" s="29" t="n"/>
      <c r="AG40" s="29" t="n"/>
      <c r="AH40" s="29" t="n"/>
      <c r="AI40" s="30">
        <f>IF(A40="","",IF(AE40="","País a verificar",IF(AE40="Brasil","Brasil","FORA DO BRASIL · "&amp;AE40)))</f>
        <v/>
      </c>
    </row>
    <row r="41" ht="28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7" t="n"/>
      <c r="K41" s="7" t="n"/>
      <c r="L41" s="6" t="n"/>
      <c r="M41" s="6" t="n"/>
      <c r="N41" s="8" t="n"/>
      <c r="O41" s="8" t="n"/>
      <c r="P41" s="7" t="n"/>
      <c r="Q41" s="6" t="n"/>
      <c r="R41" s="6" t="n"/>
      <c r="S41" s="9">
        <f>IF(A41="","",IF(M41="Não contatar","Não contatar",IF(OR(H41="Fechado",H41="Perdido"),"Encerrado",IF(K41="","Sem data",IF(K41&lt;TODAY(),"Atrasado",IF(K41=TODAY(),"Hoje","Agendado")))))))</f>
        <v/>
      </c>
      <c r="T41" s="18" t="n"/>
      <c r="U41" s="18" t="n"/>
      <c r="V41" s="18" t="n"/>
      <c r="W41" s="18" t="n"/>
      <c r="X41" s="19" t="n"/>
      <c r="Y41" s="18" t="n"/>
      <c r="Z41" s="20" t="n"/>
      <c r="AA41" s="20" t="n"/>
      <c r="AB41" s="21" t="n"/>
      <c r="AC41" s="21" t="n"/>
      <c r="AD41" s="22">
        <f>IF(A41="","",IF(OR(Y41="Descartado",M41="Não contatar",T41="Instagram",AG41="Não"),"Descartar",IF(OR(Y41&lt;&gt;"Verificado",U41="",W41="",X41="",Z41="",AA41="",AE41="",AF41="",AG41&lt;&gt;"Sim, confirmado",AH41=""),"Pendente",IF(AND(Z41&gt;=7,AA41&gt;=6),"Alta",IF(AND(Z41&gt;=5,AA41&gt;=4),"Média","Baixa")))))</f>
        <v/>
      </c>
      <c r="AE41" s="29" t="n"/>
      <c r="AF41" s="29" t="n"/>
      <c r="AG41" s="29" t="n"/>
      <c r="AH41" s="29" t="n"/>
      <c r="AI41" s="30">
        <f>IF(A41="","",IF(AE41="","País a verificar",IF(AE41="Brasil","Brasil","FORA DO BRASIL · "&amp;AE41)))</f>
        <v/>
      </c>
    </row>
    <row r="42" ht="28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7" t="n"/>
      <c r="K42" s="7" t="n"/>
      <c r="L42" s="6" t="n"/>
      <c r="M42" s="6" t="n"/>
      <c r="N42" s="8" t="n"/>
      <c r="O42" s="8" t="n"/>
      <c r="P42" s="7" t="n"/>
      <c r="Q42" s="6" t="n"/>
      <c r="R42" s="6" t="n"/>
      <c r="S42" s="9">
        <f>IF(A42="","",IF(M42="Não contatar","Não contatar",IF(OR(H42="Fechado",H42="Perdido"),"Encerrado",IF(K42="","Sem data",IF(K42&lt;TODAY(),"Atrasado",IF(K42=TODAY(),"Hoje","Agendado")))))))</f>
        <v/>
      </c>
      <c r="T42" s="18" t="n"/>
      <c r="U42" s="18" t="n"/>
      <c r="V42" s="18" t="n"/>
      <c r="W42" s="18" t="n"/>
      <c r="X42" s="19" t="n"/>
      <c r="Y42" s="18" t="n"/>
      <c r="Z42" s="20" t="n"/>
      <c r="AA42" s="20" t="n"/>
      <c r="AB42" s="21" t="n"/>
      <c r="AC42" s="21" t="n"/>
      <c r="AD42" s="22">
        <f>IF(A42="","",IF(OR(Y42="Descartado",M42="Não contatar",T42="Instagram",AG42="Não"),"Descartar",IF(OR(Y42&lt;&gt;"Verificado",U42="",W42="",X42="",Z42="",AA42="",AE42="",AF42="",AG42&lt;&gt;"Sim, confirmado",AH42=""),"Pendente",IF(AND(Z42&gt;=7,AA42&gt;=6),"Alta",IF(AND(Z42&gt;=5,AA42&gt;=4),"Média","Baixa")))))</f>
        <v/>
      </c>
      <c r="AE42" s="29" t="n"/>
      <c r="AF42" s="29" t="n"/>
      <c r="AG42" s="29" t="n"/>
      <c r="AH42" s="29" t="n"/>
      <c r="AI42" s="30">
        <f>IF(A42="","",IF(AE42="","País a verificar",IF(AE42="Brasil","Brasil","FORA DO BRASIL · "&amp;AE42)))</f>
        <v/>
      </c>
    </row>
    <row r="43" ht="28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7" t="n"/>
      <c r="K43" s="7" t="n"/>
      <c r="L43" s="6" t="n"/>
      <c r="M43" s="6" t="n"/>
      <c r="N43" s="8" t="n"/>
      <c r="O43" s="8" t="n"/>
      <c r="P43" s="7" t="n"/>
      <c r="Q43" s="6" t="n"/>
      <c r="R43" s="6" t="n"/>
      <c r="S43" s="9">
        <f>IF(A43="","",IF(M43="Não contatar","Não contatar",IF(OR(H43="Fechado",H43="Perdido"),"Encerrado",IF(K43="","Sem data",IF(K43&lt;TODAY(),"Atrasado",IF(K43=TODAY(),"Hoje","Agendado")))))))</f>
        <v/>
      </c>
      <c r="T43" s="18" t="n"/>
      <c r="U43" s="18" t="n"/>
      <c r="V43" s="18" t="n"/>
      <c r="W43" s="18" t="n"/>
      <c r="X43" s="19" t="n"/>
      <c r="Y43" s="18" t="n"/>
      <c r="Z43" s="20" t="n"/>
      <c r="AA43" s="20" t="n"/>
      <c r="AB43" s="21" t="n"/>
      <c r="AC43" s="21" t="n"/>
      <c r="AD43" s="22">
        <f>IF(A43="","",IF(OR(Y43="Descartado",M43="Não contatar",T43="Instagram",AG43="Não"),"Descartar",IF(OR(Y43&lt;&gt;"Verificado",U43="",W43="",X43="",Z43="",AA43="",AE43="",AF43="",AG43&lt;&gt;"Sim, confirmado",AH43=""),"Pendente",IF(AND(Z43&gt;=7,AA43&gt;=6),"Alta",IF(AND(Z43&gt;=5,AA43&gt;=4),"Média","Baixa")))))</f>
        <v/>
      </c>
      <c r="AE43" s="29" t="n"/>
      <c r="AF43" s="29" t="n"/>
      <c r="AG43" s="29" t="n"/>
      <c r="AH43" s="29" t="n"/>
      <c r="AI43" s="30">
        <f>IF(A43="","",IF(AE43="","País a verificar",IF(AE43="Brasil","Brasil","FORA DO BRASIL · "&amp;AE43)))</f>
        <v/>
      </c>
    </row>
    <row r="44" ht="28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7" t="n"/>
      <c r="K44" s="7" t="n"/>
      <c r="L44" s="6" t="n"/>
      <c r="M44" s="6" t="n"/>
      <c r="N44" s="8" t="n"/>
      <c r="O44" s="8" t="n"/>
      <c r="P44" s="7" t="n"/>
      <c r="Q44" s="6" t="n"/>
      <c r="R44" s="6" t="n"/>
      <c r="S44" s="9">
        <f>IF(A44="","",IF(M44="Não contatar","Não contatar",IF(OR(H44="Fechado",H44="Perdido"),"Encerrado",IF(K44="","Sem data",IF(K44&lt;TODAY(),"Atrasado",IF(K44=TODAY(),"Hoje","Agendado")))))))</f>
        <v/>
      </c>
      <c r="T44" s="18" t="n"/>
      <c r="U44" s="18" t="n"/>
      <c r="V44" s="18" t="n"/>
      <c r="W44" s="18" t="n"/>
      <c r="X44" s="19" t="n"/>
      <c r="Y44" s="18" t="n"/>
      <c r="Z44" s="20" t="n"/>
      <c r="AA44" s="20" t="n"/>
      <c r="AB44" s="21" t="n"/>
      <c r="AC44" s="21" t="n"/>
      <c r="AD44" s="22">
        <f>IF(A44="","",IF(OR(Y44="Descartado",M44="Não contatar",T44="Instagram",AG44="Não"),"Descartar",IF(OR(Y44&lt;&gt;"Verificado",U44="",W44="",X44="",Z44="",AA44="",AE44="",AF44="",AG44&lt;&gt;"Sim, confirmado",AH44=""),"Pendente",IF(AND(Z44&gt;=7,AA44&gt;=6),"Alta",IF(AND(Z44&gt;=5,AA44&gt;=4),"Média","Baixa")))))</f>
        <v/>
      </c>
      <c r="AE44" s="29" t="n"/>
      <c r="AF44" s="29" t="n"/>
      <c r="AG44" s="29" t="n"/>
      <c r="AH44" s="29" t="n"/>
      <c r="AI44" s="30">
        <f>IF(A44="","",IF(AE44="","País a verificar",IF(AE44="Brasil","Brasil","FORA DO BRASIL · "&amp;AE44)))</f>
        <v/>
      </c>
    </row>
    <row r="45" ht="28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7" t="n"/>
      <c r="K45" s="7" t="n"/>
      <c r="L45" s="6" t="n"/>
      <c r="M45" s="6" t="n"/>
      <c r="N45" s="8" t="n"/>
      <c r="O45" s="8" t="n"/>
      <c r="P45" s="7" t="n"/>
      <c r="Q45" s="6" t="n"/>
      <c r="R45" s="6" t="n"/>
      <c r="S45" s="9">
        <f>IF(A45="","",IF(M45="Não contatar","Não contatar",IF(OR(H45="Fechado",H45="Perdido"),"Encerrado",IF(K45="","Sem data",IF(K45&lt;TODAY(),"Atrasado",IF(K45=TODAY(),"Hoje","Agendado")))))))</f>
        <v/>
      </c>
      <c r="T45" s="18" t="n"/>
      <c r="U45" s="18" t="n"/>
      <c r="V45" s="18" t="n"/>
      <c r="W45" s="18" t="n"/>
      <c r="X45" s="19" t="n"/>
      <c r="Y45" s="18" t="n"/>
      <c r="Z45" s="20" t="n"/>
      <c r="AA45" s="20" t="n"/>
      <c r="AB45" s="21" t="n"/>
      <c r="AC45" s="21" t="n"/>
      <c r="AD45" s="22">
        <f>IF(A45="","",IF(OR(Y45="Descartado",M45="Não contatar",T45="Instagram",AG45="Não"),"Descartar",IF(OR(Y45&lt;&gt;"Verificado",U45="",W45="",X45="",Z45="",AA45="",AE45="",AF45="",AG45&lt;&gt;"Sim, confirmado",AH45=""),"Pendente",IF(AND(Z45&gt;=7,AA45&gt;=6),"Alta",IF(AND(Z45&gt;=5,AA45&gt;=4),"Média","Baixa")))))</f>
        <v/>
      </c>
      <c r="AE45" s="29" t="n"/>
      <c r="AF45" s="29" t="n"/>
      <c r="AG45" s="29" t="n"/>
      <c r="AH45" s="29" t="n"/>
      <c r="AI45" s="30">
        <f>IF(A45="","",IF(AE45="","País a verificar",IF(AE45="Brasil","Brasil","FORA DO BRASIL · "&amp;AE45)))</f>
        <v/>
      </c>
    </row>
    <row r="46" ht="28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7" t="n"/>
      <c r="K46" s="7" t="n"/>
      <c r="L46" s="6" t="n"/>
      <c r="M46" s="6" t="n"/>
      <c r="N46" s="8" t="n"/>
      <c r="O46" s="8" t="n"/>
      <c r="P46" s="7" t="n"/>
      <c r="Q46" s="6" t="n"/>
      <c r="R46" s="6" t="n"/>
      <c r="S46" s="9">
        <f>IF(A46="","",IF(M46="Não contatar","Não contatar",IF(OR(H46="Fechado",H46="Perdido"),"Encerrado",IF(K46="","Sem data",IF(K46&lt;TODAY(),"Atrasado",IF(K46=TODAY(),"Hoje","Agendado")))))))</f>
        <v/>
      </c>
      <c r="T46" s="18" t="n"/>
      <c r="U46" s="18" t="n"/>
      <c r="V46" s="18" t="n"/>
      <c r="W46" s="18" t="n"/>
      <c r="X46" s="19" t="n"/>
      <c r="Y46" s="18" t="n"/>
      <c r="Z46" s="20" t="n"/>
      <c r="AA46" s="20" t="n"/>
      <c r="AB46" s="21" t="n"/>
      <c r="AC46" s="21" t="n"/>
      <c r="AD46" s="22">
        <f>IF(A46="","",IF(OR(Y46="Descartado",M46="Não contatar",T46="Instagram",AG46="Não"),"Descartar",IF(OR(Y46&lt;&gt;"Verificado",U46="",W46="",X46="",Z46="",AA46="",AE46="",AF46="",AG46&lt;&gt;"Sim, confirmado",AH46=""),"Pendente",IF(AND(Z46&gt;=7,AA46&gt;=6),"Alta",IF(AND(Z46&gt;=5,AA46&gt;=4),"Média","Baixa")))))</f>
        <v/>
      </c>
      <c r="AE46" s="29" t="n"/>
      <c r="AF46" s="29" t="n"/>
      <c r="AG46" s="29" t="n"/>
      <c r="AH46" s="29" t="n"/>
      <c r="AI46" s="30">
        <f>IF(A46="","",IF(AE46="","País a verificar",IF(AE46="Brasil","Brasil","FORA DO BRASIL · "&amp;AE46)))</f>
        <v/>
      </c>
    </row>
    <row r="47" ht="28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7" t="n"/>
      <c r="K47" s="7" t="n"/>
      <c r="L47" s="6" t="n"/>
      <c r="M47" s="6" t="n"/>
      <c r="N47" s="8" t="n"/>
      <c r="O47" s="8" t="n"/>
      <c r="P47" s="7" t="n"/>
      <c r="Q47" s="6" t="n"/>
      <c r="R47" s="6" t="n"/>
      <c r="S47" s="9">
        <f>IF(A47="","",IF(M47="Não contatar","Não contatar",IF(OR(H47="Fechado",H47="Perdido"),"Encerrado",IF(K47="","Sem data",IF(K47&lt;TODAY(),"Atrasado",IF(K47=TODAY(),"Hoje","Agendado")))))))</f>
        <v/>
      </c>
      <c r="T47" s="18" t="n"/>
      <c r="U47" s="18" t="n"/>
      <c r="V47" s="18" t="n"/>
      <c r="W47" s="18" t="n"/>
      <c r="X47" s="19" t="n"/>
      <c r="Y47" s="18" t="n"/>
      <c r="Z47" s="20" t="n"/>
      <c r="AA47" s="20" t="n"/>
      <c r="AB47" s="21" t="n"/>
      <c r="AC47" s="21" t="n"/>
      <c r="AD47" s="22">
        <f>IF(A47="","",IF(OR(Y47="Descartado",M47="Não contatar",T47="Instagram",AG47="Não"),"Descartar",IF(OR(Y47&lt;&gt;"Verificado",U47="",W47="",X47="",Z47="",AA47="",AE47="",AF47="",AG47&lt;&gt;"Sim, confirmado",AH47=""),"Pendente",IF(AND(Z47&gt;=7,AA47&gt;=6),"Alta",IF(AND(Z47&gt;=5,AA47&gt;=4),"Média","Baixa")))))</f>
        <v/>
      </c>
      <c r="AE47" s="29" t="n"/>
      <c r="AF47" s="29" t="n"/>
      <c r="AG47" s="29" t="n"/>
      <c r="AH47" s="29" t="n"/>
      <c r="AI47" s="30">
        <f>IF(A47="","",IF(AE47="","País a verificar",IF(AE47="Brasil","Brasil","FORA DO BRASIL · "&amp;AE47)))</f>
        <v/>
      </c>
    </row>
    <row r="48" ht="28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7" t="n"/>
      <c r="K48" s="7" t="n"/>
      <c r="L48" s="6" t="n"/>
      <c r="M48" s="6" t="n"/>
      <c r="N48" s="8" t="n"/>
      <c r="O48" s="8" t="n"/>
      <c r="P48" s="7" t="n"/>
      <c r="Q48" s="6" t="n"/>
      <c r="R48" s="6" t="n"/>
      <c r="S48" s="9">
        <f>IF(A48="","",IF(M48="Não contatar","Não contatar",IF(OR(H48="Fechado",H48="Perdido"),"Encerrado",IF(K48="","Sem data",IF(K48&lt;TODAY(),"Atrasado",IF(K48=TODAY(),"Hoje","Agendado")))))))</f>
        <v/>
      </c>
      <c r="T48" s="18" t="n"/>
      <c r="U48" s="18" t="n"/>
      <c r="V48" s="18" t="n"/>
      <c r="W48" s="18" t="n"/>
      <c r="X48" s="19" t="n"/>
      <c r="Y48" s="18" t="n"/>
      <c r="Z48" s="20" t="n"/>
      <c r="AA48" s="20" t="n"/>
      <c r="AB48" s="21" t="n"/>
      <c r="AC48" s="21" t="n"/>
      <c r="AD48" s="22">
        <f>IF(A48="","",IF(OR(Y48="Descartado",M48="Não contatar",T48="Instagram",AG48="Não"),"Descartar",IF(OR(Y48&lt;&gt;"Verificado",U48="",W48="",X48="",Z48="",AA48="",AE48="",AF48="",AG48&lt;&gt;"Sim, confirmado",AH48=""),"Pendente",IF(AND(Z48&gt;=7,AA48&gt;=6),"Alta",IF(AND(Z48&gt;=5,AA48&gt;=4),"Média","Baixa")))))</f>
        <v/>
      </c>
      <c r="AE48" s="29" t="n"/>
      <c r="AF48" s="29" t="n"/>
      <c r="AG48" s="29" t="n"/>
      <c r="AH48" s="29" t="n"/>
      <c r="AI48" s="30">
        <f>IF(A48="","",IF(AE48="","País a verificar",IF(AE48="Brasil","Brasil","FORA DO BRASIL · "&amp;AE48)))</f>
        <v/>
      </c>
    </row>
    <row r="49" ht="28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7" t="n"/>
      <c r="K49" s="7" t="n"/>
      <c r="L49" s="6" t="n"/>
      <c r="M49" s="6" t="n"/>
      <c r="N49" s="8" t="n"/>
      <c r="O49" s="8" t="n"/>
      <c r="P49" s="7" t="n"/>
      <c r="Q49" s="6" t="n"/>
      <c r="R49" s="6" t="n"/>
      <c r="S49" s="9">
        <f>IF(A49="","",IF(M49="Não contatar","Não contatar",IF(OR(H49="Fechado",H49="Perdido"),"Encerrado",IF(K49="","Sem data",IF(K49&lt;TODAY(),"Atrasado",IF(K49=TODAY(),"Hoje","Agendado")))))))</f>
        <v/>
      </c>
      <c r="T49" s="18" t="n"/>
      <c r="U49" s="18" t="n"/>
      <c r="V49" s="18" t="n"/>
      <c r="W49" s="18" t="n"/>
      <c r="X49" s="19" t="n"/>
      <c r="Y49" s="18" t="n"/>
      <c r="Z49" s="20" t="n"/>
      <c r="AA49" s="20" t="n"/>
      <c r="AB49" s="21" t="n"/>
      <c r="AC49" s="21" t="n"/>
      <c r="AD49" s="22">
        <f>IF(A49="","",IF(OR(Y49="Descartado",M49="Não contatar",T49="Instagram",AG49="Não"),"Descartar",IF(OR(Y49&lt;&gt;"Verificado",U49="",W49="",X49="",Z49="",AA49="",AE49="",AF49="",AG49&lt;&gt;"Sim, confirmado",AH49=""),"Pendente",IF(AND(Z49&gt;=7,AA49&gt;=6),"Alta",IF(AND(Z49&gt;=5,AA49&gt;=4),"Média","Baixa")))))</f>
        <v/>
      </c>
      <c r="AE49" s="29" t="n"/>
      <c r="AF49" s="29" t="n"/>
      <c r="AG49" s="29" t="n"/>
      <c r="AH49" s="29" t="n"/>
      <c r="AI49" s="30">
        <f>IF(A49="","",IF(AE49="","País a verificar",IF(AE49="Brasil","Brasil","FORA DO BRASIL · "&amp;AE49)))</f>
        <v/>
      </c>
    </row>
    <row r="50" ht="28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7" t="n"/>
      <c r="K50" s="7" t="n"/>
      <c r="L50" s="6" t="n"/>
      <c r="M50" s="6" t="n"/>
      <c r="N50" s="8" t="n"/>
      <c r="O50" s="8" t="n"/>
      <c r="P50" s="7" t="n"/>
      <c r="Q50" s="6" t="n"/>
      <c r="R50" s="6" t="n"/>
      <c r="S50" s="9">
        <f>IF(A50="","",IF(M50="Não contatar","Não contatar",IF(OR(H50="Fechado",H50="Perdido"),"Encerrado",IF(K50="","Sem data",IF(K50&lt;TODAY(),"Atrasado",IF(K50=TODAY(),"Hoje","Agendado")))))))</f>
        <v/>
      </c>
      <c r="T50" s="18" t="n"/>
      <c r="U50" s="18" t="n"/>
      <c r="V50" s="18" t="n"/>
      <c r="W50" s="18" t="n"/>
      <c r="X50" s="19" t="n"/>
      <c r="Y50" s="18" t="n"/>
      <c r="Z50" s="20" t="n"/>
      <c r="AA50" s="20" t="n"/>
      <c r="AB50" s="21" t="n"/>
      <c r="AC50" s="21" t="n"/>
      <c r="AD50" s="22">
        <f>IF(A50="","",IF(OR(Y50="Descartado",M50="Não contatar",T50="Instagram",AG50="Não"),"Descartar",IF(OR(Y50&lt;&gt;"Verificado",U50="",W50="",X50="",Z50="",AA50="",AE50="",AF50="",AG50&lt;&gt;"Sim, confirmado",AH50=""),"Pendente",IF(AND(Z50&gt;=7,AA50&gt;=6),"Alta",IF(AND(Z50&gt;=5,AA50&gt;=4),"Média","Baixa")))))</f>
        <v/>
      </c>
      <c r="AE50" s="29" t="n"/>
      <c r="AF50" s="29" t="n"/>
      <c r="AG50" s="29" t="n"/>
      <c r="AH50" s="29" t="n"/>
      <c r="AI50" s="30">
        <f>IF(A50="","",IF(AE50="","País a verificar",IF(AE50="Brasil","Brasil","FORA DO BRASIL · "&amp;AE50)))</f>
        <v/>
      </c>
    </row>
    <row r="51" ht="28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7" t="n"/>
      <c r="K51" s="7" t="n"/>
      <c r="L51" s="6" t="n"/>
      <c r="M51" s="6" t="n"/>
      <c r="N51" s="8" t="n"/>
      <c r="O51" s="8" t="n"/>
      <c r="P51" s="7" t="n"/>
      <c r="Q51" s="6" t="n"/>
      <c r="R51" s="6" t="n"/>
      <c r="S51" s="9">
        <f>IF(A51="","",IF(M51="Não contatar","Não contatar",IF(OR(H51="Fechado",H51="Perdido"),"Encerrado",IF(K51="","Sem data",IF(K51&lt;TODAY(),"Atrasado",IF(K51=TODAY(),"Hoje","Agendado")))))))</f>
        <v/>
      </c>
      <c r="T51" s="18" t="n"/>
      <c r="U51" s="18" t="n"/>
      <c r="V51" s="18" t="n"/>
      <c r="W51" s="18" t="n"/>
      <c r="X51" s="19" t="n"/>
      <c r="Y51" s="18" t="n"/>
      <c r="Z51" s="20" t="n"/>
      <c r="AA51" s="20" t="n"/>
      <c r="AB51" s="21" t="n"/>
      <c r="AC51" s="21" t="n"/>
      <c r="AD51" s="22">
        <f>IF(A51="","",IF(OR(Y51="Descartado",M51="Não contatar",T51="Instagram",AG51="Não"),"Descartar",IF(OR(Y51&lt;&gt;"Verificado",U51="",W51="",X51="",Z51="",AA51="",AE51="",AF51="",AG51&lt;&gt;"Sim, confirmado",AH51=""),"Pendente",IF(AND(Z51&gt;=7,AA51&gt;=6),"Alta",IF(AND(Z51&gt;=5,AA51&gt;=4),"Média","Baixa")))))</f>
        <v/>
      </c>
      <c r="AE51" s="29" t="n"/>
      <c r="AF51" s="29" t="n"/>
      <c r="AG51" s="29" t="n"/>
      <c r="AH51" s="29" t="n"/>
      <c r="AI51" s="30">
        <f>IF(A51="","",IF(AE51="","País a verificar",IF(AE51="Brasil","Brasil","FORA DO BRASIL · "&amp;AE51)))</f>
        <v/>
      </c>
    </row>
    <row r="52" ht="28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7" t="n"/>
      <c r="K52" s="7" t="n"/>
      <c r="L52" s="6" t="n"/>
      <c r="M52" s="6" t="n"/>
      <c r="N52" s="8" t="n"/>
      <c r="O52" s="8" t="n"/>
      <c r="P52" s="7" t="n"/>
      <c r="Q52" s="6" t="n"/>
      <c r="R52" s="6" t="n"/>
      <c r="S52" s="9">
        <f>IF(A52="","",IF(M52="Não contatar","Não contatar",IF(OR(H52="Fechado",H52="Perdido"),"Encerrado",IF(K52="","Sem data",IF(K52&lt;TODAY(),"Atrasado",IF(K52=TODAY(),"Hoje","Agendado")))))))</f>
        <v/>
      </c>
      <c r="T52" s="18" t="n"/>
      <c r="U52" s="18" t="n"/>
      <c r="V52" s="18" t="n"/>
      <c r="W52" s="18" t="n"/>
      <c r="X52" s="19" t="n"/>
      <c r="Y52" s="18" t="n"/>
      <c r="Z52" s="20" t="n"/>
      <c r="AA52" s="20" t="n"/>
      <c r="AB52" s="21" t="n"/>
      <c r="AC52" s="21" t="n"/>
      <c r="AD52" s="22">
        <f>IF(A52="","",IF(OR(Y52="Descartado",M52="Não contatar",T52="Instagram",AG52="Não"),"Descartar",IF(OR(Y52&lt;&gt;"Verificado",U52="",W52="",X52="",Z52="",AA52="",AE52="",AF52="",AG52&lt;&gt;"Sim, confirmado",AH52=""),"Pendente",IF(AND(Z52&gt;=7,AA52&gt;=6),"Alta",IF(AND(Z52&gt;=5,AA52&gt;=4),"Média","Baixa")))))</f>
        <v/>
      </c>
      <c r="AE52" s="29" t="n"/>
      <c r="AF52" s="29" t="n"/>
      <c r="AG52" s="29" t="n"/>
      <c r="AH52" s="29" t="n"/>
      <c r="AI52" s="30">
        <f>IF(A52="","",IF(AE52="","País a verificar",IF(AE52="Brasil","Brasil","FORA DO BRASIL · "&amp;AE52)))</f>
        <v/>
      </c>
    </row>
    <row r="53" ht="28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7" t="n"/>
      <c r="K53" s="7" t="n"/>
      <c r="L53" s="6" t="n"/>
      <c r="M53" s="6" t="n"/>
      <c r="N53" s="8" t="n"/>
      <c r="O53" s="8" t="n"/>
      <c r="P53" s="7" t="n"/>
      <c r="Q53" s="6" t="n"/>
      <c r="R53" s="6" t="n"/>
      <c r="S53" s="9">
        <f>IF(A53="","",IF(M53="Não contatar","Não contatar",IF(OR(H53="Fechado",H53="Perdido"),"Encerrado",IF(K53="","Sem data",IF(K53&lt;TODAY(),"Atrasado",IF(K53=TODAY(),"Hoje","Agendado")))))))</f>
        <v/>
      </c>
      <c r="T53" s="18" t="n"/>
      <c r="U53" s="18" t="n"/>
      <c r="V53" s="18" t="n"/>
      <c r="W53" s="18" t="n"/>
      <c r="X53" s="19" t="n"/>
      <c r="Y53" s="18" t="n"/>
      <c r="Z53" s="20" t="n"/>
      <c r="AA53" s="20" t="n"/>
      <c r="AB53" s="21" t="n"/>
      <c r="AC53" s="21" t="n"/>
      <c r="AD53" s="22">
        <f>IF(A53="","",IF(OR(Y53="Descartado",M53="Não contatar",T53="Instagram",AG53="Não"),"Descartar",IF(OR(Y53&lt;&gt;"Verificado",U53="",W53="",X53="",Z53="",AA53="",AE53="",AF53="",AG53&lt;&gt;"Sim, confirmado",AH53=""),"Pendente",IF(AND(Z53&gt;=7,AA53&gt;=6),"Alta",IF(AND(Z53&gt;=5,AA53&gt;=4),"Média","Baixa")))))</f>
        <v/>
      </c>
      <c r="AE53" s="29" t="n"/>
      <c r="AF53" s="29" t="n"/>
      <c r="AG53" s="29" t="n"/>
      <c r="AH53" s="29" t="n"/>
      <c r="AI53" s="30">
        <f>IF(A53="","",IF(AE53="","País a verificar",IF(AE53="Brasil","Brasil","FORA DO BRASIL · "&amp;AE53)))</f>
        <v/>
      </c>
    </row>
    <row r="54" ht="28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7" t="n"/>
      <c r="K54" s="7" t="n"/>
      <c r="L54" s="6" t="n"/>
      <c r="M54" s="6" t="n"/>
      <c r="N54" s="8" t="n"/>
      <c r="O54" s="8" t="n"/>
      <c r="P54" s="7" t="n"/>
      <c r="Q54" s="6" t="n"/>
      <c r="R54" s="6" t="n"/>
      <c r="S54" s="9">
        <f>IF(A54="","",IF(M54="Não contatar","Não contatar",IF(OR(H54="Fechado",H54="Perdido"),"Encerrado",IF(K54="","Sem data",IF(K54&lt;TODAY(),"Atrasado",IF(K54=TODAY(),"Hoje","Agendado")))))))</f>
        <v/>
      </c>
      <c r="T54" s="18" t="n"/>
      <c r="U54" s="18" t="n"/>
      <c r="V54" s="18" t="n"/>
      <c r="W54" s="18" t="n"/>
      <c r="X54" s="19" t="n"/>
      <c r="Y54" s="18" t="n"/>
      <c r="Z54" s="20" t="n"/>
      <c r="AA54" s="20" t="n"/>
      <c r="AB54" s="21" t="n"/>
      <c r="AC54" s="21" t="n"/>
      <c r="AD54" s="22">
        <f>IF(A54="","",IF(OR(Y54="Descartado",M54="Não contatar",T54="Instagram",AG54="Não"),"Descartar",IF(OR(Y54&lt;&gt;"Verificado",U54="",W54="",X54="",Z54="",AA54="",AE54="",AF54="",AG54&lt;&gt;"Sim, confirmado",AH54=""),"Pendente",IF(AND(Z54&gt;=7,AA54&gt;=6),"Alta",IF(AND(Z54&gt;=5,AA54&gt;=4),"Média","Baixa")))))</f>
        <v/>
      </c>
      <c r="AE54" s="29" t="n"/>
      <c r="AF54" s="29" t="n"/>
      <c r="AG54" s="29" t="n"/>
      <c r="AH54" s="29" t="n"/>
      <c r="AI54" s="30">
        <f>IF(A54="","",IF(AE54="","País a verificar",IF(AE54="Brasil","Brasil","FORA DO BRASIL · "&amp;AE54)))</f>
        <v/>
      </c>
    </row>
    <row r="55" ht="28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7" t="n"/>
      <c r="K55" s="7" t="n"/>
      <c r="L55" s="6" t="n"/>
      <c r="M55" s="6" t="n"/>
      <c r="N55" s="8" t="n"/>
      <c r="O55" s="8" t="n"/>
      <c r="P55" s="7" t="n"/>
      <c r="Q55" s="6" t="n"/>
      <c r="R55" s="6" t="n"/>
      <c r="S55" s="9">
        <f>IF(A55="","",IF(M55="Não contatar","Não contatar",IF(OR(H55="Fechado",H55="Perdido"),"Encerrado",IF(K55="","Sem data",IF(K55&lt;TODAY(),"Atrasado",IF(K55=TODAY(),"Hoje","Agendado")))))))</f>
        <v/>
      </c>
      <c r="T55" s="18" t="n"/>
      <c r="U55" s="18" t="n"/>
      <c r="V55" s="18" t="n"/>
      <c r="W55" s="18" t="n"/>
      <c r="X55" s="19" t="n"/>
      <c r="Y55" s="18" t="n"/>
      <c r="Z55" s="20" t="n"/>
      <c r="AA55" s="20" t="n"/>
      <c r="AB55" s="21" t="n"/>
      <c r="AC55" s="21" t="n"/>
      <c r="AD55" s="22">
        <f>IF(A55="","",IF(OR(Y55="Descartado",M55="Não contatar",T55="Instagram",AG55="Não"),"Descartar",IF(OR(Y55&lt;&gt;"Verificado",U55="",W55="",X55="",Z55="",AA55="",AE55="",AF55="",AG55&lt;&gt;"Sim, confirmado",AH55=""),"Pendente",IF(AND(Z55&gt;=7,AA55&gt;=6),"Alta",IF(AND(Z55&gt;=5,AA55&gt;=4),"Média","Baixa")))))</f>
        <v/>
      </c>
      <c r="AE55" s="29" t="n"/>
      <c r="AF55" s="29" t="n"/>
      <c r="AG55" s="29" t="n"/>
      <c r="AH55" s="29" t="n"/>
      <c r="AI55" s="30">
        <f>IF(A55="","",IF(AE55="","País a verificar",IF(AE55="Brasil","Brasil","FORA DO BRASIL · "&amp;AE55)))</f>
        <v/>
      </c>
    </row>
    <row r="56" ht="28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7" t="n"/>
      <c r="K56" s="7" t="n"/>
      <c r="L56" s="6" t="n"/>
      <c r="M56" s="6" t="n"/>
      <c r="N56" s="8" t="n"/>
      <c r="O56" s="8" t="n"/>
      <c r="P56" s="7" t="n"/>
      <c r="Q56" s="6" t="n"/>
      <c r="R56" s="6" t="n"/>
      <c r="S56" s="9">
        <f>IF(A56="","",IF(M56="Não contatar","Não contatar",IF(OR(H56="Fechado",H56="Perdido"),"Encerrado",IF(K56="","Sem data",IF(K56&lt;TODAY(),"Atrasado",IF(K56=TODAY(),"Hoje","Agendado")))))))</f>
        <v/>
      </c>
      <c r="T56" s="18" t="n"/>
      <c r="U56" s="18" t="n"/>
      <c r="V56" s="18" t="n"/>
      <c r="W56" s="18" t="n"/>
      <c r="X56" s="19" t="n"/>
      <c r="Y56" s="18" t="n"/>
      <c r="Z56" s="20" t="n"/>
      <c r="AA56" s="20" t="n"/>
      <c r="AB56" s="21" t="n"/>
      <c r="AC56" s="21" t="n"/>
      <c r="AD56" s="22">
        <f>IF(A56="","",IF(OR(Y56="Descartado",M56="Não contatar",T56="Instagram",AG56="Não"),"Descartar",IF(OR(Y56&lt;&gt;"Verificado",U56="",W56="",X56="",Z56="",AA56="",AE56="",AF56="",AG56&lt;&gt;"Sim, confirmado",AH56=""),"Pendente",IF(AND(Z56&gt;=7,AA56&gt;=6),"Alta",IF(AND(Z56&gt;=5,AA56&gt;=4),"Média","Baixa")))))</f>
        <v/>
      </c>
      <c r="AE56" s="29" t="n"/>
      <c r="AF56" s="29" t="n"/>
      <c r="AG56" s="29" t="n"/>
      <c r="AH56" s="29" t="n"/>
      <c r="AI56" s="30">
        <f>IF(A56="","",IF(AE56="","País a verificar",IF(AE56="Brasil","Brasil","FORA DO BRASIL · "&amp;AE56)))</f>
        <v/>
      </c>
    </row>
    <row r="57" ht="28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7" t="n"/>
      <c r="K57" s="7" t="n"/>
      <c r="L57" s="6" t="n"/>
      <c r="M57" s="6" t="n"/>
      <c r="N57" s="8" t="n"/>
      <c r="O57" s="8" t="n"/>
      <c r="P57" s="7" t="n"/>
      <c r="Q57" s="6" t="n"/>
      <c r="R57" s="6" t="n"/>
      <c r="S57" s="9">
        <f>IF(A57="","",IF(M57="Não contatar","Não contatar",IF(OR(H57="Fechado",H57="Perdido"),"Encerrado",IF(K57="","Sem data",IF(K57&lt;TODAY(),"Atrasado",IF(K57=TODAY(),"Hoje","Agendado")))))))</f>
        <v/>
      </c>
      <c r="T57" s="18" t="n"/>
      <c r="U57" s="18" t="n"/>
      <c r="V57" s="18" t="n"/>
      <c r="W57" s="18" t="n"/>
      <c r="X57" s="19" t="n"/>
      <c r="Y57" s="18" t="n"/>
      <c r="Z57" s="20" t="n"/>
      <c r="AA57" s="20" t="n"/>
      <c r="AB57" s="21" t="n"/>
      <c r="AC57" s="21" t="n"/>
      <c r="AD57" s="22">
        <f>IF(A57="","",IF(OR(Y57="Descartado",M57="Não contatar",T57="Instagram",AG57="Não"),"Descartar",IF(OR(Y57&lt;&gt;"Verificado",U57="",W57="",X57="",Z57="",AA57="",AE57="",AF57="",AG57&lt;&gt;"Sim, confirmado",AH57=""),"Pendente",IF(AND(Z57&gt;=7,AA57&gt;=6),"Alta",IF(AND(Z57&gt;=5,AA57&gt;=4),"Média","Baixa")))))</f>
        <v/>
      </c>
      <c r="AE57" s="29" t="n"/>
      <c r="AF57" s="29" t="n"/>
      <c r="AG57" s="29" t="n"/>
      <c r="AH57" s="29" t="n"/>
      <c r="AI57" s="30">
        <f>IF(A57="","",IF(AE57="","País a verificar",IF(AE57="Brasil","Brasil","FORA DO BRASIL · "&amp;AE57)))</f>
        <v/>
      </c>
    </row>
    <row r="58" ht="28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7" t="n"/>
      <c r="K58" s="7" t="n"/>
      <c r="L58" s="6" t="n"/>
      <c r="M58" s="6" t="n"/>
      <c r="N58" s="8" t="n"/>
      <c r="O58" s="8" t="n"/>
      <c r="P58" s="7" t="n"/>
      <c r="Q58" s="6" t="n"/>
      <c r="R58" s="6" t="n"/>
      <c r="S58" s="9">
        <f>IF(A58="","",IF(M58="Não contatar","Não contatar",IF(OR(H58="Fechado",H58="Perdido"),"Encerrado",IF(K58="","Sem data",IF(K58&lt;TODAY(),"Atrasado",IF(K58=TODAY(),"Hoje","Agendado")))))))</f>
        <v/>
      </c>
      <c r="T58" s="18" t="n"/>
      <c r="U58" s="18" t="n"/>
      <c r="V58" s="18" t="n"/>
      <c r="W58" s="18" t="n"/>
      <c r="X58" s="19" t="n"/>
      <c r="Y58" s="18" t="n"/>
      <c r="Z58" s="20" t="n"/>
      <c r="AA58" s="20" t="n"/>
      <c r="AB58" s="21" t="n"/>
      <c r="AC58" s="21" t="n"/>
      <c r="AD58" s="22">
        <f>IF(A58="","",IF(OR(Y58="Descartado",M58="Não contatar",T58="Instagram",AG58="Não"),"Descartar",IF(OR(Y58&lt;&gt;"Verificado",U58="",W58="",X58="",Z58="",AA58="",AE58="",AF58="",AG58&lt;&gt;"Sim, confirmado",AH58=""),"Pendente",IF(AND(Z58&gt;=7,AA58&gt;=6),"Alta",IF(AND(Z58&gt;=5,AA58&gt;=4),"Média","Baixa")))))</f>
        <v/>
      </c>
      <c r="AE58" s="29" t="n"/>
      <c r="AF58" s="29" t="n"/>
      <c r="AG58" s="29" t="n"/>
      <c r="AH58" s="29" t="n"/>
      <c r="AI58" s="30">
        <f>IF(A58="","",IF(AE58="","País a verificar",IF(AE58="Brasil","Brasil","FORA DO BRASIL · "&amp;AE58)))</f>
        <v/>
      </c>
    </row>
    <row r="59" ht="28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7" t="n"/>
      <c r="K59" s="7" t="n"/>
      <c r="L59" s="6" t="n"/>
      <c r="M59" s="6" t="n"/>
      <c r="N59" s="8" t="n"/>
      <c r="O59" s="8" t="n"/>
      <c r="P59" s="7" t="n"/>
      <c r="Q59" s="6" t="n"/>
      <c r="R59" s="6" t="n"/>
      <c r="S59" s="9">
        <f>IF(A59="","",IF(M59="Não contatar","Não contatar",IF(OR(H59="Fechado",H59="Perdido"),"Encerrado",IF(K59="","Sem data",IF(K59&lt;TODAY(),"Atrasado",IF(K59=TODAY(),"Hoje","Agendado")))))))</f>
        <v/>
      </c>
      <c r="T59" s="18" t="n"/>
      <c r="U59" s="18" t="n"/>
      <c r="V59" s="18" t="n"/>
      <c r="W59" s="18" t="n"/>
      <c r="X59" s="19" t="n"/>
      <c r="Y59" s="18" t="n"/>
      <c r="Z59" s="20" t="n"/>
      <c r="AA59" s="20" t="n"/>
      <c r="AB59" s="21" t="n"/>
      <c r="AC59" s="21" t="n"/>
      <c r="AD59" s="22">
        <f>IF(A59="","",IF(OR(Y59="Descartado",M59="Não contatar",T59="Instagram",AG59="Não"),"Descartar",IF(OR(Y59&lt;&gt;"Verificado",U59="",W59="",X59="",Z59="",AA59="",AE59="",AF59="",AG59&lt;&gt;"Sim, confirmado",AH59=""),"Pendente",IF(AND(Z59&gt;=7,AA59&gt;=6),"Alta",IF(AND(Z59&gt;=5,AA59&gt;=4),"Média","Baixa")))))</f>
        <v/>
      </c>
      <c r="AE59" s="29" t="n"/>
      <c r="AF59" s="29" t="n"/>
      <c r="AG59" s="29" t="n"/>
      <c r="AH59" s="29" t="n"/>
      <c r="AI59" s="30">
        <f>IF(A59="","",IF(AE59="","País a verificar",IF(AE59="Brasil","Brasil","FORA DO BRASIL · "&amp;AE59)))</f>
        <v/>
      </c>
    </row>
    <row r="60" ht="28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7" t="n"/>
      <c r="K60" s="7" t="n"/>
      <c r="L60" s="6" t="n"/>
      <c r="M60" s="6" t="n"/>
      <c r="N60" s="8" t="n"/>
      <c r="O60" s="8" t="n"/>
      <c r="P60" s="7" t="n"/>
      <c r="Q60" s="6" t="n"/>
      <c r="R60" s="6" t="n"/>
      <c r="S60" s="9">
        <f>IF(A60="","",IF(M60="Não contatar","Não contatar",IF(OR(H60="Fechado",H60="Perdido"),"Encerrado",IF(K60="","Sem data",IF(K60&lt;TODAY(),"Atrasado",IF(K60=TODAY(),"Hoje","Agendado")))))))</f>
        <v/>
      </c>
      <c r="T60" s="18" t="n"/>
      <c r="U60" s="18" t="n"/>
      <c r="V60" s="18" t="n"/>
      <c r="W60" s="18" t="n"/>
      <c r="X60" s="19" t="n"/>
      <c r="Y60" s="18" t="n"/>
      <c r="Z60" s="20" t="n"/>
      <c r="AA60" s="20" t="n"/>
      <c r="AB60" s="21" t="n"/>
      <c r="AC60" s="21" t="n"/>
      <c r="AD60" s="22">
        <f>IF(A60="","",IF(OR(Y60="Descartado",M60="Não contatar",T60="Instagram",AG60="Não"),"Descartar",IF(OR(Y60&lt;&gt;"Verificado",U60="",W60="",X60="",Z60="",AA60="",AE60="",AF60="",AG60&lt;&gt;"Sim, confirmado",AH60=""),"Pendente",IF(AND(Z60&gt;=7,AA60&gt;=6),"Alta",IF(AND(Z60&gt;=5,AA60&gt;=4),"Média","Baixa")))))</f>
        <v/>
      </c>
      <c r="AE60" s="29" t="n"/>
      <c r="AF60" s="29" t="n"/>
      <c r="AG60" s="29" t="n"/>
      <c r="AH60" s="29" t="n"/>
      <c r="AI60" s="30">
        <f>IF(A60="","",IF(AE60="","País a verificar",IF(AE60="Brasil","Brasil","FORA DO BRASIL · "&amp;AE60)))</f>
        <v/>
      </c>
    </row>
    <row r="61" ht="28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7" t="n"/>
      <c r="K61" s="7" t="n"/>
      <c r="L61" s="6" t="n"/>
      <c r="M61" s="6" t="n"/>
      <c r="N61" s="8" t="n"/>
      <c r="O61" s="8" t="n"/>
      <c r="P61" s="7" t="n"/>
      <c r="Q61" s="6" t="n"/>
      <c r="R61" s="6" t="n"/>
      <c r="S61" s="9">
        <f>IF(A61="","",IF(M61="Não contatar","Não contatar",IF(OR(H61="Fechado",H61="Perdido"),"Encerrado",IF(K61="","Sem data",IF(K61&lt;TODAY(),"Atrasado",IF(K61=TODAY(),"Hoje","Agendado")))))))</f>
        <v/>
      </c>
      <c r="T61" s="18" t="n"/>
      <c r="U61" s="18" t="n"/>
      <c r="V61" s="18" t="n"/>
      <c r="W61" s="18" t="n"/>
      <c r="X61" s="19" t="n"/>
      <c r="Y61" s="18" t="n"/>
      <c r="Z61" s="20" t="n"/>
      <c r="AA61" s="20" t="n"/>
      <c r="AB61" s="21" t="n"/>
      <c r="AC61" s="21" t="n"/>
      <c r="AD61" s="22">
        <f>IF(A61="","",IF(OR(Y61="Descartado",M61="Não contatar",T61="Instagram",AG61="Não"),"Descartar",IF(OR(Y61&lt;&gt;"Verificado",U61="",W61="",X61="",Z61="",AA61="",AE61="",AF61="",AG61&lt;&gt;"Sim, confirmado",AH61=""),"Pendente",IF(AND(Z61&gt;=7,AA61&gt;=6),"Alta",IF(AND(Z61&gt;=5,AA61&gt;=4),"Média","Baixa")))))</f>
        <v/>
      </c>
      <c r="AE61" s="29" t="n"/>
      <c r="AF61" s="29" t="n"/>
      <c r="AG61" s="29" t="n"/>
      <c r="AH61" s="29" t="n"/>
      <c r="AI61" s="30">
        <f>IF(A61="","",IF(AE61="","País a verificar",IF(AE61="Brasil","Brasil","FORA DO BRASIL · "&amp;AE61)))</f>
        <v/>
      </c>
    </row>
    <row r="62" ht="28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7" t="n"/>
      <c r="K62" s="7" t="n"/>
      <c r="L62" s="6" t="n"/>
      <c r="M62" s="6" t="n"/>
      <c r="N62" s="8" t="n"/>
      <c r="O62" s="8" t="n"/>
      <c r="P62" s="7" t="n"/>
      <c r="Q62" s="6" t="n"/>
      <c r="R62" s="6" t="n"/>
      <c r="S62" s="9">
        <f>IF(A62="","",IF(M62="Não contatar","Não contatar",IF(OR(H62="Fechado",H62="Perdido"),"Encerrado",IF(K62="","Sem data",IF(K62&lt;TODAY(),"Atrasado",IF(K62=TODAY(),"Hoje","Agendado")))))))</f>
        <v/>
      </c>
      <c r="T62" s="18" t="n"/>
      <c r="U62" s="18" t="n"/>
      <c r="V62" s="18" t="n"/>
      <c r="W62" s="18" t="n"/>
      <c r="X62" s="19" t="n"/>
      <c r="Y62" s="18" t="n"/>
      <c r="Z62" s="20" t="n"/>
      <c r="AA62" s="20" t="n"/>
      <c r="AB62" s="21" t="n"/>
      <c r="AC62" s="21" t="n"/>
      <c r="AD62" s="22">
        <f>IF(A62="","",IF(OR(Y62="Descartado",M62="Não contatar",T62="Instagram",AG62="Não"),"Descartar",IF(OR(Y62&lt;&gt;"Verificado",U62="",W62="",X62="",Z62="",AA62="",AE62="",AF62="",AG62&lt;&gt;"Sim, confirmado",AH62=""),"Pendente",IF(AND(Z62&gt;=7,AA62&gt;=6),"Alta",IF(AND(Z62&gt;=5,AA62&gt;=4),"Média","Baixa")))))</f>
        <v/>
      </c>
      <c r="AE62" s="29" t="n"/>
      <c r="AF62" s="29" t="n"/>
      <c r="AG62" s="29" t="n"/>
      <c r="AH62" s="29" t="n"/>
      <c r="AI62" s="30">
        <f>IF(A62="","",IF(AE62="","País a verificar",IF(AE62="Brasil","Brasil","FORA DO BRASIL · "&amp;AE62)))</f>
        <v/>
      </c>
    </row>
    <row r="63" ht="28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7" t="n"/>
      <c r="K63" s="7" t="n"/>
      <c r="L63" s="6" t="n"/>
      <c r="M63" s="6" t="n"/>
      <c r="N63" s="8" t="n"/>
      <c r="O63" s="8" t="n"/>
      <c r="P63" s="7" t="n"/>
      <c r="Q63" s="6" t="n"/>
      <c r="R63" s="6" t="n"/>
      <c r="S63" s="9">
        <f>IF(A63="","",IF(M63="Não contatar","Não contatar",IF(OR(H63="Fechado",H63="Perdido"),"Encerrado",IF(K63="","Sem data",IF(K63&lt;TODAY(),"Atrasado",IF(K63=TODAY(),"Hoje","Agendado")))))))</f>
        <v/>
      </c>
      <c r="T63" s="18" t="n"/>
      <c r="U63" s="18" t="n"/>
      <c r="V63" s="18" t="n"/>
      <c r="W63" s="18" t="n"/>
      <c r="X63" s="19" t="n"/>
      <c r="Y63" s="18" t="n"/>
      <c r="Z63" s="20" t="n"/>
      <c r="AA63" s="20" t="n"/>
      <c r="AB63" s="21" t="n"/>
      <c r="AC63" s="21" t="n"/>
      <c r="AD63" s="22">
        <f>IF(A63="","",IF(OR(Y63="Descartado",M63="Não contatar",T63="Instagram",AG63="Não"),"Descartar",IF(OR(Y63&lt;&gt;"Verificado",U63="",W63="",X63="",Z63="",AA63="",AE63="",AF63="",AG63&lt;&gt;"Sim, confirmado",AH63=""),"Pendente",IF(AND(Z63&gt;=7,AA63&gt;=6),"Alta",IF(AND(Z63&gt;=5,AA63&gt;=4),"Média","Baixa")))))</f>
        <v/>
      </c>
      <c r="AE63" s="29" t="n"/>
      <c r="AF63" s="29" t="n"/>
      <c r="AG63" s="29" t="n"/>
      <c r="AH63" s="29" t="n"/>
      <c r="AI63" s="30">
        <f>IF(A63="","",IF(AE63="","País a verificar",IF(AE63="Brasil","Brasil","FORA DO BRASIL · "&amp;AE63)))</f>
        <v/>
      </c>
    </row>
    <row r="64" ht="28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7" t="n"/>
      <c r="K64" s="7" t="n"/>
      <c r="L64" s="6" t="n"/>
      <c r="M64" s="6" t="n"/>
      <c r="N64" s="8" t="n"/>
      <c r="O64" s="8" t="n"/>
      <c r="P64" s="7" t="n"/>
      <c r="Q64" s="6" t="n"/>
      <c r="R64" s="6" t="n"/>
      <c r="S64" s="9">
        <f>IF(A64="","",IF(M64="Não contatar","Não contatar",IF(OR(H64="Fechado",H64="Perdido"),"Encerrado",IF(K64="","Sem data",IF(K64&lt;TODAY(),"Atrasado",IF(K64=TODAY(),"Hoje","Agendado")))))))</f>
        <v/>
      </c>
      <c r="T64" s="18" t="n"/>
      <c r="U64" s="18" t="n"/>
      <c r="V64" s="18" t="n"/>
      <c r="W64" s="18" t="n"/>
      <c r="X64" s="19" t="n"/>
      <c r="Y64" s="18" t="n"/>
      <c r="Z64" s="20" t="n"/>
      <c r="AA64" s="20" t="n"/>
      <c r="AB64" s="21" t="n"/>
      <c r="AC64" s="21" t="n"/>
      <c r="AD64" s="22">
        <f>IF(A64="","",IF(OR(Y64="Descartado",M64="Não contatar",T64="Instagram",AG64="Não"),"Descartar",IF(OR(Y64&lt;&gt;"Verificado",U64="",W64="",X64="",Z64="",AA64="",AE64="",AF64="",AG64&lt;&gt;"Sim, confirmado",AH64=""),"Pendente",IF(AND(Z64&gt;=7,AA64&gt;=6),"Alta",IF(AND(Z64&gt;=5,AA64&gt;=4),"Média","Baixa")))))</f>
        <v/>
      </c>
      <c r="AE64" s="29" t="n"/>
      <c r="AF64" s="29" t="n"/>
      <c r="AG64" s="29" t="n"/>
      <c r="AH64" s="29" t="n"/>
      <c r="AI64" s="30">
        <f>IF(A64="","",IF(AE64="","País a verificar",IF(AE64="Brasil","Brasil","FORA DO BRASIL · "&amp;AE64)))</f>
        <v/>
      </c>
    </row>
    <row r="65" ht="28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7" t="n"/>
      <c r="K65" s="7" t="n"/>
      <c r="L65" s="6" t="n"/>
      <c r="M65" s="6" t="n"/>
      <c r="N65" s="8" t="n"/>
      <c r="O65" s="8" t="n"/>
      <c r="P65" s="7" t="n"/>
      <c r="Q65" s="6" t="n"/>
      <c r="R65" s="6" t="n"/>
      <c r="S65" s="9">
        <f>IF(A65="","",IF(M65="Não contatar","Não contatar",IF(OR(H65="Fechado",H65="Perdido"),"Encerrado",IF(K65="","Sem data",IF(K65&lt;TODAY(),"Atrasado",IF(K65=TODAY(),"Hoje","Agendado")))))))</f>
        <v/>
      </c>
      <c r="T65" s="18" t="n"/>
      <c r="U65" s="18" t="n"/>
      <c r="V65" s="18" t="n"/>
      <c r="W65" s="18" t="n"/>
      <c r="X65" s="19" t="n"/>
      <c r="Y65" s="18" t="n"/>
      <c r="Z65" s="20" t="n"/>
      <c r="AA65" s="20" t="n"/>
      <c r="AB65" s="21" t="n"/>
      <c r="AC65" s="21" t="n"/>
      <c r="AD65" s="22">
        <f>IF(A65="","",IF(OR(Y65="Descartado",M65="Não contatar",T65="Instagram",AG65="Não"),"Descartar",IF(OR(Y65&lt;&gt;"Verificado",U65="",W65="",X65="",Z65="",AA65="",AE65="",AF65="",AG65&lt;&gt;"Sim, confirmado",AH65=""),"Pendente",IF(AND(Z65&gt;=7,AA65&gt;=6),"Alta",IF(AND(Z65&gt;=5,AA65&gt;=4),"Média","Baixa")))))</f>
        <v/>
      </c>
      <c r="AE65" s="29" t="n"/>
      <c r="AF65" s="29" t="n"/>
      <c r="AG65" s="29" t="n"/>
      <c r="AH65" s="29" t="n"/>
      <c r="AI65" s="30">
        <f>IF(A65="","",IF(AE65="","País a verificar",IF(AE65="Brasil","Brasil","FORA DO BRASIL · "&amp;AE65)))</f>
        <v/>
      </c>
    </row>
    <row r="66" ht="28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7" t="n"/>
      <c r="K66" s="7" t="n"/>
      <c r="L66" s="6" t="n"/>
      <c r="M66" s="6" t="n"/>
      <c r="N66" s="8" t="n"/>
      <c r="O66" s="8" t="n"/>
      <c r="P66" s="7" t="n"/>
      <c r="Q66" s="6" t="n"/>
      <c r="R66" s="6" t="n"/>
      <c r="S66" s="9">
        <f>IF(A66="","",IF(M66="Não contatar","Não contatar",IF(OR(H66="Fechado",H66="Perdido"),"Encerrado",IF(K66="","Sem data",IF(K66&lt;TODAY(),"Atrasado",IF(K66=TODAY(),"Hoje","Agendado")))))))</f>
        <v/>
      </c>
      <c r="T66" s="18" t="n"/>
      <c r="U66" s="18" t="n"/>
      <c r="V66" s="18" t="n"/>
      <c r="W66" s="18" t="n"/>
      <c r="X66" s="19" t="n"/>
      <c r="Y66" s="18" t="n"/>
      <c r="Z66" s="20" t="n"/>
      <c r="AA66" s="20" t="n"/>
      <c r="AB66" s="21" t="n"/>
      <c r="AC66" s="21" t="n"/>
      <c r="AD66" s="22">
        <f>IF(A66="","",IF(OR(Y66="Descartado",M66="Não contatar",T66="Instagram",AG66="Não"),"Descartar",IF(OR(Y66&lt;&gt;"Verificado",U66="",W66="",X66="",Z66="",AA66="",AE66="",AF66="",AG66&lt;&gt;"Sim, confirmado",AH66=""),"Pendente",IF(AND(Z66&gt;=7,AA66&gt;=6),"Alta",IF(AND(Z66&gt;=5,AA66&gt;=4),"Média","Baixa")))))</f>
        <v/>
      </c>
      <c r="AE66" s="29" t="n"/>
      <c r="AF66" s="29" t="n"/>
      <c r="AG66" s="29" t="n"/>
      <c r="AH66" s="29" t="n"/>
      <c r="AI66" s="30">
        <f>IF(A66="","",IF(AE66="","País a verificar",IF(AE66="Brasil","Brasil","FORA DO BRASIL · "&amp;AE66)))</f>
        <v/>
      </c>
    </row>
    <row r="67" ht="28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7" t="n"/>
      <c r="K67" s="7" t="n"/>
      <c r="L67" s="6" t="n"/>
      <c r="M67" s="6" t="n"/>
      <c r="N67" s="8" t="n"/>
      <c r="O67" s="8" t="n"/>
      <c r="P67" s="7" t="n"/>
      <c r="Q67" s="6" t="n"/>
      <c r="R67" s="6" t="n"/>
      <c r="S67" s="9">
        <f>IF(A67="","",IF(M67="Não contatar","Não contatar",IF(OR(H67="Fechado",H67="Perdido"),"Encerrado",IF(K67="","Sem data",IF(K67&lt;TODAY(),"Atrasado",IF(K67=TODAY(),"Hoje","Agendado")))))))</f>
        <v/>
      </c>
      <c r="T67" s="18" t="n"/>
      <c r="U67" s="18" t="n"/>
      <c r="V67" s="18" t="n"/>
      <c r="W67" s="18" t="n"/>
      <c r="X67" s="19" t="n"/>
      <c r="Y67" s="18" t="n"/>
      <c r="Z67" s="20" t="n"/>
      <c r="AA67" s="20" t="n"/>
      <c r="AB67" s="21" t="n"/>
      <c r="AC67" s="21" t="n"/>
      <c r="AD67" s="22">
        <f>IF(A67="","",IF(OR(Y67="Descartado",M67="Não contatar",T67="Instagram",AG67="Não"),"Descartar",IF(OR(Y67&lt;&gt;"Verificado",U67="",W67="",X67="",Z67="",AA67="",AE67="",AF67="",AG67&lt;&gt;"Sim, confirmado",AH67=""),"Pendente",IF(AND(Z67&gt;=7,AA67&gt;=6),"Alta",IF(AND(Z67&gt;=5,AA67&gt;=4),"Média","Baixa")))))</f>
        <v/>
      </c>
      <c r="AE67" s="29" t="n"/>
      <c r="AF67" s="29" t="n"/>
      <c r="AG67" s="29" t="n"/>
      <c r="AH67" s="29" t="n"/>
      <c r="AI67" s="30">
        <f>IF(A67="","",IF(AE67="","País a verificar",IF(AE67="Brasil","Brasil","FORA DO BRASIL · "&amp;AE67)))</f>
        <v/>
      </c>
    </row>
    <row r="68" ht="28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7" t="n"/>
      <c r="K68" s="7" t="n"/>
      <c r="L68" s="6" t="n"/>
      <c r="M68" s="6" t="n"/>
      <c r="N68" s="8" t="n"/>
      <c r="O68" s="8" t="n"/>
      <c r="P68" s="7" t="n"/>
      <c r="Q68" s="6" t="n"/>
      <c r="R68" s="6" t="n"/>
      <c r="S68" s="9">
        <f>IF(A68="","",IF(M68="Não contatar","Não contatar",IF(OR(H68="Fechado",H68="Perdido"),"Encerrado",IF(K68="","Sem data",IF(K68&lt;TODAY(),"Atrasado",IF(K68=TODAY(),"Hoje","Agendado")))))))</f>
        <v/>
      </c>
      <c r="T68" s="18" t="n"/>
      <c r="U68" s="18" t="n"/>
      <c r="V68" s="18" t="n"/>
      <c r="W68" s="18" t="n"/>
      <c r="X68" s="19" t="n"/>
      <c r="Y68" s="18" t="n"/>
      <c r="Z68" s="20" t="n"/>
      <c r="AA68" s="20" t="n"/>
      <c r="AB68" s="21" t="n"/>
      <c r="AC68" s="21" t="n"/>
      <c r="AD68" s="22">
        <f>IF(A68="","",IF(OR(Y68="Descartado",M68="Não contatar",T68="Instagram",AG68="Não"),"Descartar",IF(OR(Y68&lt;&gt;"Verificado",U68="",W68="",X68="",Z68="",AA68="",AE68="",AF68="",AG68&lt;&gt;"Sim, confirmado",AH68=""),"Pendente",IF(AND(Z68&gt;=7,AA68&gt;=6),"Alta",IF(AND(Z68&gt;=5,AA68&gt;=4),"Média","Baixa")))))</f>
        <v/>
      </c>
      <c r="AE68" s="29" t="n"/>
      <c r="AF68" s="29" t="n"/>
      <c r="AG68" s="29" t="n"/>
      <c r="AH68" s="29" t="n"/>
      <c r="AI68" s="30">
        <f>IF(A68="","",IF(AE68="","País a verificar",IF(AE68="Brasil","Brasil","FORA DO BRASIL · "&amp;AE68)))</f>
        <v/>
      </c>
    </row>
    <row r="69" ht="28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7" t="n"/>
      <c r="K69" s="7" t="n"/>
      <c r="L69" s="6" t="n"/>
      <c r="M69" s="6" t="n"/>
      <c r="N69" s="8" t="n"/>
      <c r="O69" s="8" t="n"/>
      <c r="P69" s="7" t="n"/>
      <c r="Q69" s="6" t="n"/>
      <c r="R69" s="6" t="n"/>
      <c r="S69" s="9">
        <f>IF(A69="","",IF(M69="Não contatar","Não contatar",IF(OR(H69="Fechado",H69="Perdido"),"Encerrado",IF(K69="","Sem data",IF(K69&lt;TODAY(),"Atrasado",IF(K69=TODAY(),"Hoje","Agendado")))))))</f>
        <v/>
      </c>
      <c r="T69" s="18" t="n"/>
      <c r="U69" s="18" t="n"/>
      <c r="V69" s="18" t="n"/>
      <c r="W69" s="18" t="n"/>
      <c r="X69" s="19" t="n"/>
      <c r="Y69" s="18" t="n"/>
      <c r="Z69" s="20" t="n"/>
      <c r="AA69" s="20" t="n"/>
      <c r="AB69" s="21" t="n"/>
      <c r="AC69" s="21" t="n"/>
      <c r="AD69" s="22">
        <f>IF(A69="","",IF(OR(Y69="Descartado",M69="Não contatar",T69="Instagram",AG69="Não"),"Descartar",IF(OR(Y69&lt;&gt;"Verificado",U69="",W69="",X69="",Z69="",AA69="",AE69="",AF69="",AG69&lt;&gt;"Sim, confirmado",AH69=""),"Pendente",IF(AND(Z69&gt;=7,AA69&gt;=6),"Alta",IF(AND(Z69&gt;=5,AA69&gt;=4),"Média","Baixa")))))</f>
        <v/>
      </c>
      <c r="AE69" s="29" t="n"/>
      <c r="AF69" s="29" t="n"/>
      <c r="AG69" s="29" t="n"/>
      <c r="AH69" s="29" t="n"/>
      <c r="AI69" s="30">
        <f>IF(A69="","",IF(AE69="","País a verificar",IF(AE69="Brasil","Brasil","FORA DO BRASIL · "&amp;AE69)))</f>
        <v/>
      </c>
    </row>
    <row r="70" ht="28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7" t="n"/>
      <c r="K70" s="7" t="n"/>
      <c r="L70" s="6" t="n"/>
      <c r="M70" s="6" t="n"/>
      <c r="N70" s="8" t="n"/>
      <c r="O70" s="8" t="n"/>
      <c r="P70" s="7" t="n"/>
      <c r="Q70" s="6" t="n"/>
      <c r="R70" s="6" t="n"/>
      <c r="S70" s="9">
        <f>IF(A70="","",IF(M70="Não contatar","Não contatar",IF(OR(H70="Fechado",H70="Perdido"),"Encerrado",IF(K70="","Sem data",IF(K70&lt;TODAY(),"Atrasado",IF(K70=TODAY(),"Hoje","Agendado")))))))</f>
        <v/>
      </c>
      <c r="T70" s="18" t="n"/>
      <c r="U70" s="18" t="n"/>
      <c r="V70" s="18" t="n"/>
      <c r="W70" s="18" t="n"/>
      <c r="X70" s="19" t="n"/>
      <c r="Y70" s="18" t="n"/>
      <c r="Z70" s="20" t="n"/>
      <c r="AA70" s="20" t="n"/>
      <c r="AB70" s="21" t="n"/>
      <c r="AC70" s="21" t="n"/>
      <c r="AD70" s="22">
        <f>IF(A70="","",IF(OR(Y70="Descartado",M70="Não contatar",T70="Instagram",AG70="Não"),"Descartar",IF(OR(Y70&lt;&gt;"Verificado",U70="",W70="",X70="",Z70="",AA70="",AE70="",AF70="",AG70&lt;&gt;"Sim, confirmado",AH70=""),"Pendente",IF(AND(Z70&gt;=7,AA70&gt;=6),"Alta",IF(AND(Z70&gt;=5,AA70&gt;=4),"Média","Baixa")))))</f>
        <v/>
      </c>
      <c r="AE70" s="29" t="n"/>
      <c r="AF70" s="29" t="n"/>
      <c r="AG70" s="29" t="n"/>
      <c r="AH70" s="29" t="n"/>
      <c r="AI70" s="30">
        <f>IF(A70="","",IF(AE70="","País a verificar",IF(AE70="Brasil","Brasil","FORA DO BRASIL · "&amp;AE70)))</f>
        <v/>
      </c>
    </row>
    <row r="71" ht="28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7" t="n"/>
      <c r="K71" s="7" t="n"/>
      <c r="L71" s="6" t="n"/>
      <c r="M71" s="6" t="n"/>
      <c r="N71" s="8" t="n"/>
      <c r="O71" s="8" t="n"/>
      <c r="P71" s="7" t="n"/>
      <c r="Q71" s="6" t="n"/>
      <c r="R71" s="6" t="n"/>
      <c r="S71" s="9">
        <f>IF(A71="","",IF(M71="Não contatar","Não contatar",IF(OR(H71="Fechado",H71="Perdido"),"Encerrado",IF(K71="","Sem data",IF(K71&lt;TODAY(),"Atrasado",IF(K71=TODAY(),"Hoje","Agendado")))))))</f>
        <v/>
      </c>
      <c r="T71" s="18" t="n"/>
      <c r="U71" s="18" t="n"/>
      <c r="V71" s="18" t="n"/>
      <c r="W71" s="18" t="n"/>
      <c r="X71" s="19" t="n"/>
      <c r="Y71" s="18" t="n"/>
      <c r="Z71" s="20" t="n"/>
      <c r="AA71" s="20" t="n"/>
      <c r="AB71" s="21" t="n"/>
      <c r="AC71" s="21" t="n"/>
      <c r="AD71" s="22">
        <f>IF(A71="","",IF(OR(Y71="Descartado",M71="Não contatar",T71="Instagram",AG71="Não"),"Descartar",IF(OR(Y71&lt;&gt;"Verificado",U71="",W71="",X71="",Z71="",AA71="",AE71="",AF71="",AG71&lt;&gt;"Sim, confirmado",AH71=""),"Pendente",IF(AND(Z71&gt;=7,AA71&gt;=6),"Alta",IF(AND(Z71&gt;=5,AA71&gt;=4),"Média","Baixa")))))</f>
        <v/>
      </c>
      <c r="AE71" s="29" t="n"/>
      <c r="AF71" s="29" t="n"/>
      <c r="AG71" s="29" t="n"/>
      <c r="AH71" s="29" t="n"/>
      <c r="AI71" s="30">
        <f>IF(A71="","",IF(AE71="","País a verificar",IF(AE71="Brasil","Brasil","FORA DO BRASIL · "&amp;AE71)))</f>
        <v/>
      </c>
    </row>
    <row r="72" ht="28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7" t="n"/>
      <c r="K72" s="7" t="n"/>
      <c r="L72" s="6" t="n"/>
      <c r="M72" s="6" t="n"/>
      <c r="N72" s="8" t="n"/>
      <c r="O72" s="8" t="n"/>
      <c r="P72" s="7" t="n"/>
      <c r="Q72" s="6" t="n"/>
      <c r="R72" s="6" t="n"/>
      <c r="S72" s="9">
        <f>IF(A72="","",IF(M72="Não contatar","Não contatar",IF(OR(H72="Fechado",H72="Perdido"),"Encerrado",IF(K72="","Sem data",IF(K72&lt;TODAY(),"Atrasado",IF(K72=TODAY(),"Hoje","Agendado")))))))</f>
        <v/>
      </c>
      <c r="T72" s="18" t="n"/>
      <c r="U72" s="18" t="n"/>
      <c r="V72" s="18" t="n"/>
      <c r="W72" s="18" t="n"/>
      <c r="X72" s="19" t="n"/>
      <c r="Y72" s="18" t="n"/>
      <c r="Z72" s="20" t="n"/>
      <c r="AA72" s="20" t="n"/>
      <c r="AB72" s="21" t="n"/>
      <c r="AC72" s="21" t="n"/>
      <c r="AD72" s="22">
        <f>IF(A72="","",IF(OR(Y72="Descartado",M72="Não contatar",T72="Instagram",AG72="Não"),"Descartar",IF(OR(Y72&lt;&gt;"Verificado",U72="",W72="",X72="",Z72="",AA72="",AE72="",AF72="",AG72&lt;&gt;"Sim, confirmado",AH72=""),"Pendente",IF(AND(Z72&gt;=7,AA72&gt;=6),"Alta",IF(AND(Z72&gt;=5,AA72&gt;=4),"Média","Baixa")))))</f>
        <v/>
      </c>
      <c r="AE72" s="29" t="n"/>
      <c r="AF72" s="29" t="n"/>
      <c r="AG72" s="29" t="n"/>
      <c r="AH72" s="29" t="n"/>
      <c r="AI72" s="30">
        <f>IF(A72="","",IF(AE72="","País a verificar",IF(AE72="Brasil","Brasil","FORA DO BRASIL · "&amp;AE72)))</f>
        <v/>
      </c>
    </row>
    <row r="73" ht="28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7" t="n"/>
      <c r="K73" s="7" t="n"/>
      <c r="L73" s="6" t="n"/>
      <c r="M73" s="6" t="n"/>
      <c r="N73" s="8" t="n"/>
      <c r="O73" s="8" t="n"/>
      <c r="P73" s="7" t="n"/>
      <c r="Q73" s="6" t="n"/>
      <c r="R73" s="6" t="n"/>
      <c r="S73" s="9">
        <f>IF(A73="","",IF(M73="Não contatar","Não contatar",IF(OR(H73="Fechado",H73="Perdido"),"Encerrado",IF(K73="","Sem data",IF(K73&lt;TODAY(),"Atrasado",IF(K73=TODAY(),"Hoje","Agendado")))))))</f>
        <v/>
      </c>
      <c r="T73" s="18" t="n"/>
      <c r="U73" s="18" t="n"/>
      <c r="V73" s="18" t="n"/>
      <c r="W73" s="18" t="n"/>
      <c r="X73" s="19" t="n"/>
      <c r="Y73" s="18" t="n"/>
      <c r="Z73" s="20" t="n"/>
      <c r="AA73" s="20" t="n"/>
      <c r="AB73" s="21" t="n"/>
      <c r="AC73" s="21" t="n"/>
      <c r="AD73" s="22">
        <f>IF(A73="","",IF(OR(Y73="Descartado",M73="Não contatar",T73="Instagram",AG73="Não"),"Descartar",IF(OR(Y73&lt;&gt;"Verificado",U73="",W73="",X73="",Z73="",AA73="",AE73="",AF73="",AG73&lt;&gt;"Sim, confirmado",AH73=""),"Pendente",IF(AND(Z73&gt;=7,AA73&gt;=6),"Alta",IF(AND(Z73&gt;=5,AA73&gt;=4),"Média","Baixa")))))</f>
        <v/>
      </c>
      <c r="AE73" s="29" t="n"/>
      <c r="AF73" s="29" t="n"/>
      <c r="AG73" s="29" t="n"/>
      <c r="AH73" s="29" t="n"/>
      <c r="AI73" s="30">
        <f>IF(A73="","",IF(AE73="","País a verificar",IF(AE73="Brasil","Brasil","FORA DO BRASIL · "&amp;AE73)))</f>
        <v/>
      </c>
    </row>
    <row r="74" ht="28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7" t="n"/>
      <c r="K74" s="7" t="n"/>
      <c r="L74" s="6" t="n"/>
      <c r="M74" s="6" t="n"/>
      <c r="N74" s="8" t="n"/>
      <c r="O74" s="8" t="n"/>
      <c r="P74" s="7" t="n"/>
      <c r="Q74" s="6" t="n"/>
      <c r="R74" s="6" t="n"/>
      <c r="S74" s="9">
        <f>IF(A74="","",IF(M74="Não contatar","Não contatar",IF(OR(H74="Fechado",H74="Perdido"),"Encerrado",IF(K74="","Sem data",IF(K74&lt;TODAY(),"Atrasado",IF(K74=TODAY(),"Hoje","Agendado")))))))</f>
        <v/>
      </c>
      <c r="T74" s="18" t="n"/>
      <c r="U74" s="18" t="n"/>
      <c r="V74" s="18" t="n"/>
      <c r="W74" s="18" t="n"/>
      <c r="X74" s="19" t="n"/>
      <c r="Y74" s="18" t="n"/>
      <c r="Z74" s="20" t="n"/>
      <c r="AA74" s="20" t="n"/>
      <c r="AB74" s="21" t="n"/>
      <c r="AC74" s="21" t="n"/>
      <c r="AD74" s="22">
        <f>IF(A74="","",IF(OR(Y74="Descartado",M74="Não contatar",T74="Instagram",AG74="Não"),"Descartar",IF(OR(Y74&lt;&gt;"Verificado",U74="",W74="",X74="",Z74="",AA74="",AE74="",AF74="",AG74&lt;&gt;"Sim, confirmado",AH74=""),"Pendente",IF(AND(Z74&gt;=7,AA74&gt;=6),"Alta",IF(AND(Z74&gt;=5,AA74&gt;=4),"Média","Baixa")))))</f>
        <v/>
      </c>
      <c r="AE74" s="29" t="n"/>
      <c r="AF74" s="29" t="n"/>
      <c r="AG74" s="29" t="n"/>
      <c r="AH74" s="29" t="n"/>
      <c r="AI74" s="30">
        <f>IF(A74="","",IF(AE74="","País a verificar",IF(AE74="Brasil","Brasil","FORA DO BRASIL · "&amp;AE74)))</f>
        <v/>
      </c>
    </row>
    <row r="75" ht="28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7" t="n"/>
      <c r="K75" s="7" t="n"/>
      <c r="L75" s="6" t="n"/>
      <c r="M75" s="6" t="n"/>
      <c r="N75" s="8" t="n"/>
      <c r="O75" s="8" t="n"/>
      <c r="P75" s="7" t="n"/>
      <c r="Q75" s="6" t="n"/>
      <c r="R75" s="6" t="n"/>
      <c r="S75" s="9">
        <f>IF(A75="","",IF(M75="Não contatar","Não contatar",IF(OR(H75="Fechado",H75="Perdido"),"Encerrado",IF(K75="","Sem data",IF(K75&lt;TODAY(),"Atrasado",IF(K75=TODAY(),"Hoje","Agendado")))))))</f>
        <v/>
      </c>
      <c r="T75" s="18" t="n"/>
      <c r="U75" s="18" t="n"/>
      <c r="V75" s="18" t="n"/>
      <c r="W75" s="18" t="n"/>
      <c r="X75" s="19" t="n"/>
      <c r="Y75" s="18" t="n"/>
      <c r="Z75" s="20" t="n"/>
      <c r="AA75" s="20" t="n"/>
      <c r="AB75" s="21" t="n"/>
      <c r="AC75" s="21" t="n"/>
      <c r="AD75" s="22">
        <f>IF(A75="","",IF(OR(Y75="Descartado",M75="Não contatar",T75="Instagram",AG75="Não"),"Descartar",IF(OR(Y75&lt;&gt;"Verificado",U75="",W75="",X75="",Z75="",AA75="",AE75="",AF75="",AG75&lt;&gt;"Sim, confirmado",AH75=""),"Pendente",IF(AND(Z75&gt;=7,AA75&gt;=6),"Alta",IF(AND(Z75&gt;=5,AA75&gt;=4),"Média","Baixa")))))</f>
        <v/>
      </c>
      <c r="AE75" s="29" t="n"/>
      <c r="AF75" s="29" t="n"/>
      <c r="AG75" s="29" t="n"/>
      <c r="AH75" s="29" t="n"/>
      <c r="AI75" s="30">
        <f>IF(A75="","",IF(AE75="","País a verificar",IF(AE75="Brasil","Brasil","FORA DO BRASIL · "&amp;AE75)))</f>
        <v/>
      </c>
    </row>
    <row r="76" ht="28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7" t="n"/>
      <c r="K76" s="7" t="n"/>
      <c r="L76" s="6" t="n"/>
      <c r="M76" s="6" t="n"/>
      <c r="N76" s="8" t="n"/>
      <c r="O76" s="8" t="n"/>
      <c r="P76" s="7" t="n"/>
      <c r="Q76" s="6" t="n"/>
      <c r="R76" s="6" t="n"/>
      <c r="S76" s="9">
        <f>IF(A76="","",IF(M76="Não contatar","Não contatar",IF(OR(H76="Fechado",H76="Perdido"),"Encerrado",IF(K76="","Sem data",IF(K76&lt;TODAY(),"Atrasado",IF(K76=TODAY(),"Hoje","Agendado")))))))</f>
        <v/>
      </c>
      <c r="T76" s="18" t="n"/>
      <c r="U76" s="18" t="n"/>
      <c r="V76" s="18" t="n"/>
      <c r="W76" s="18" t="n"/>
      <c r="X76" s="19" t="n"/>
      <c r="Y76" s="18" t="n"/>
      <c r="Z76" s="20" t="n"/>
      <c r="AA76" s="20" t="n"/>
      <c r="AB76" s="21" t="n"/>
      <c r="AC76" s="21" t="n"/>
      <c r="AD76" s="22">
        <f>IF(A76="","",IF(OR(Y76="Descartado",M76="Não contatar",T76="Instagram",AG76="Não"),"Descartar",IF(OR(Y76&lt;&gt;"Verificado",U76="",W76="",X76="",Z76="",AA76="",AE76="",AF76="",AG76&lt;&gt;"Sim, confirmado",AH76=""),"Pendente",IF(AND(Z76&gt;=7,AA76&gt;=6),"Alta",IF(AND(Z76&gt;=5,AA76&gt;=4),"Média","Baixa")))))</f>
        <v/>
      </c>
      <c r="AE76" s="29" t="n"/>
      <c r="AF76" s="29" t="n"/>
      <c r="AG76" s="29" t="n"/>
      <c r="AH76" s="29" t="n"/>
      <c r="AI76" s="30">
        <f>IF(A76="","",IF(AE76="","País a verificar",IF(AE76="Brasil","Brasil","FORA DO BRASIL · "&amp;AE76)))</f>
        <v/>
      </c>
    </row>
    <row r="77" ht="28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7" t="n"/>
      <c r="K77" s="7" t="n"/>
      <c r="L77" s="6" t="n"/>
      <c r="M77" s="6" t="n"/>
      <c r="N77" s="8" t="n"/>
      <c r="O77" s="8" t="n"/>
      <c r="P77" s="7" t="n"/>
      <c r="Q77" s="6" t="n"/>
      <c r="R77" s="6" t="n"/>
      <c r="S77" s="9">
        <f>IF(A77="","",IF(M77="Não contatar","Não contatar",IF(OR(H77="Fechado",H77="Perdido"),"Encerrado",IF(K77="","Sem data",IF(K77&lt;TODAY(),"Atrasado",IF(K77=TODAY(),"Hoje","Agendado")))))))</f>
        <v/>
      </c>
      <c r="T77" s="18" t="n"/>
      <c r="U77" s="18" t="n"/>
      <c r="V77" s="18" t="n"/>
      <c r="W77" s="18" t="n"/>
      <c r="X77" s="19" t="n"/>
      <c r="Y77" s="18" t="n"/>
      <c r="Z77" s="20" t="n"/>
      <c r="AA77" s="20" t="n"/>
      <c r="AB77" s="21" t="n"/>
      <c r="AC77" s="21" t="n"/>
      <c r="AD77" s="22">
        <f>IF(A77="","",IF(OR(Y77="Descartado",M77="Não contatar",T77="Instagram",AG77="Não"),"Descartar",IF(OR(Y77&lt;&gt;"Verificado",U77="",W77="",X77="",Z77="",AA77="",AE77="",AF77="",AG77&lt;&gt;"Sim, confirmado",AH77=""),"Pendente",IF(AND(Z77&gt;=7,AA77&gt;=6),"Alta",IF(AND(Z77&gt;=5,AA77&gt;=4),"Média","Baixa")))))</f>
        <v/>
      </c>
      <c r="AE77" s="29" t="n"/>
      <c r="AF77" s="29" t="n"/>
      <c r="AG77" s="29" t="n"/>
      <c r="AH77" s="29" t="n"/>
      <c r="AI77" s="30">
        <f>IF(A77="","",IF(AE77="","País a verificar",IF(AE77="Brasil","Brasil","FORA DO BRASIL · "&amp;AE77)))</f>
        <v/>
      </c>
    </row>
    <row r="78" ht="28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7" t="n"/>
      <c r="K78" s="7" t="n"/>
      <c r="L78" s="6" t="n"/>
      <c r="M78" s="6" t="n"/>
      <c r="N78" s="8" t="n"/>
      <c r="O78" s="8" t="n"/>
      <c r="P78" s="7" t="n"/>
      <c r="Q78" s="6" t="n"/>
      <c r="R78" s="6" t="n"/>
      <c r="S78" s="9">
        <f>IF(A78="","",IF(M78="Não contatar","Não contatar",IF(OR(H78="Fechado",H78="Perdido"),"Encerrado",IF(K78="","Sem data",IF(K78&lt;TODAY(),"Atrasado",IF(K78=TODAY(),"Hoje","Agendado")))))))</f>
        <v/>
      </c>
      <c r="T78" s="18" t="n"/>
      <c r="U78" s="18" t="n"/>
      <c r="V78" s="18" t="n"/>
      <c r="W78" s="18" t="n"/>
      <c r="X78" s="19" t="n"/>
      <c r="Y78" s="18" t="n"/>
      <c r="Z78" s="20" t="n"/>
      <c r="AA78" s="20" t="n"/>
      <c r="AB78" s="21" t="n"/>
      <c r="AC78" s="21" t="n"/>
      <c r="AD78" s="22">
        <f>IF(A78="","",IF(OR(Y78="Descartado",M78="Não contatar",T78="Instagram",AG78="Não"),"Descartar",IF(OR(Y78&lt;&gt;"Verificado",U78="",W78="",X78="",Z78="",AA78="",AE78="",AF78="",AG78&lt;&gt;"Sim, confirmado",AH78=""),"Pendente",IF(AND(Z78&gt;=7,AA78&gt;=6),"Alta",IF(AND(Z78&gt;=5,AA78&gt;=4),"Média","Baixa")))))</f>
        <v/>
      </c>
      <c r="AE78" s="29" t="n"/>
      <c r="AF78" s="29" t="n"/>
      <c r="AG78" s="29" t="n"/>
      <c r="AH78" s="29" t="n"/>
      <c r="AI78" s="30">
        <f>IF(A78="","",IF(AE78="","País a verificar",IF(AE78="Brasil","Brasil","FORA DO BRASIL · "&amp;AE78)))</f>
        <v/>
      </c>
    </row>
    <row r="79" ht="28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7" t="n"/>
      <c r="K79" s="7" t="n"/>
      <c r="L79" s="6" t="n"/>
      <c r="M79" s="6" t="n"/>
      <c r="N79" s="8" t="n"/>
      <c r="O79" s="8" t="n"/>
      <c r="P79" s="7" t="n"/>
      <c r="Q79" s="6" t="n"/>
      <c r="R79" s="6" t="n"/>
      <c r="S79" s="9">
        <f>IF(A79="","",IF(M79="Não contatar","Não contatar",IF(OR(H79="Fechado",H79="Perdido"),"Encerrado",IF(K79="","Sem data",IF(K79&lt;TODAY(),"Atrasado",IF(K79=TODAY(),"Hoje","Agendado")))))))</f>
        <v/>
      </c>
      <c r="T79" s="18" t="n"/>
      <c r="U79" s="18" t="n"/>
      <c r="V79" s="18" t="n"/>
      <c r="W79" s="18" t="n"/>
      <c r="X79" s="19" t="n"/>
      <c r="Y79" s="18" t="n"/>
      <c r="Z79" s="20" t="n"/>
      <c r="AA79" s="20" t="n"/>
      <c r="AB79" s="21" t="n"/>
      <c r="AC79" s="21" t="n"/>
      <c r="AD79" s="22">
        <f>IF(A79="","",IF(OR(Y79="Descartado",M79="Não contatar",T79="Instagram",AG79="Não"),"Descartar",IF(OR(Y79&lt;&gt;"Verificado",U79="",W79="",X79="",Z79="",AA79="",AE79="",AF79="",AG79&lt;&gt;"Sim, confirmado",AH79=""),"Pendente",IF(AND(Z79&gt;=7,AA79&gt;=6),"Alta",IF(AND(Z79&gt;=5,AA79&gt;=4),"Média","Baixa")))))</f>
        <v/>
      </c>
      <c r="AE79" s="29" t="n"/>
      <c r="AF79" s="29" t="n"/>
      <c r="AG79" s="29" t="n"/>
      <c r="AH79" s="29" t="n"/>
      <c r="AI79" s="30">
        <f>IF(A79="","",IF(AE79="","País a verificar",IF(AE79="Brasil","Brasil","FORA DO BRASIL · "&amp;AE79)))</f>
        <v/>
      </c>
    </row>
    <row r="80" ht="28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7" t="n"/>
      <c r="K80" s="7" t="n"/>
      <c r="L80" s="6" t="n"/>
      <c r="M80" s="6" t="n"/>
      <c r="N80" s="8" t="n"/>
      <c r="O80" s="8" t="n"/>
      <c r="P80" s="7" t="n"/>
      <c r="Q80" s="6" t="n"/>
      <c r="R80" s="6" t="n"/>
      <c r="S80" s="9">
        <f>IF(A80="","",IF(M80="Não contatar","Não contatar",IF(OR(H80="Fechado",H80="Perdido"),"Encerrado",IF(K80="","Sem data",IF(K80&lt;TODAY(),"Atrasado",IF(K80=TODAY(),"Hoje","Agendado")))))))</f>
        <v/>
      </c>
      <c r="T80" s="18" t="n"/>
      <c r="U80" s="18" t="n"/>
      <c r="V80" s="18" t="n"/>
      <c r="W80" s="18" t="n"/>
      <c r="X80" s="19" t="n"/>
      <c r="Y80" s="18" t="n"/>
      <c r="Z80" s="20" t="n"/>
      <c r="AA80" s="20" t="n"/>
      <c r="AB80" s="21" t="n"/>
      <c r="AC80" s="21" t="n"/>
      <c r="AD80" s="22">
        <f>IF(A80="","",IF(OR(Y80="Descartado",M80="Não contatar",T80="Instagram",AG80="Não"),"Descartar",IF(OR(Y80&lt;&gt;"Verificado",U80="",W80="",X80="",Z80="",AA80="",AE80="",AF80="",AG80&lt;&gt;"Sim, confirmado",AH80=""),"Pendente",IF(AND(Z80&gt;=7,AA80&gt;=6),"Alta",IF(AND(Z80&gt;=5,AA80&gt;=4),"Média","Baixa")))))</f>
        <v/>
      </c>
      <c r="AE80" s="29" t="n"/>
      <c r="AF80" s="29" t="n"/>
      <c r="AG80" s="29" t="n"/>
      <c r="AH80" s="29" t="n"/>
      <c r="AI80" s="30">
        <f>IF(A80="","",IF(AE80="","País a verificar",IF(AE80="Brasil","Brasil","FORA DO BRASIL · "&amp;AE80)))</f>
        <v/>
      </c>
    </row>
    <row r="81" ht="28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7" t="n"/>
      <c r="K81" s="7" t="n"/>
      <c r="L81" s="6" t="n"/>
      <c r="M81" s="6" t="n"/>
      <c r="N81" s="8" t="n"/>
      <c r="O81" s="8" t="n"/>
      <c r="P81" s="7" t="n"/>
      <c r="Q81" s="6" t="n"/>
      <c r="R81" s="6" t="n"/>
      <c r="S81" s="9">
        <f>IF(A81="","",IF(M81="Não contatar","Não contatar",IF(OR(H81="Fechado",H81="Perdido"),"Encerrado",IF(K81="","Sem data",IF(K81&lt;TODAY(),"Atrasado",IF(K81=TODAY(),"Hoje","Agendado")))))))</f>
        <v/>
      </c>
      <c r="T81" s="18" t="n"/>
      <c r="U81" s="18" t="n"/>
      <c r="V81" s="18" t="n"/>
      <c r="W81" s="18" t="n"/>
      <c r="X81" s="19" t="n"/>
      <c r="Y81" s="18" t="n"/>
      <c r="Z81" s="20" t="n"/>
      <c r="AA81" s="20" t="n"/>
      <c r="AB81" s="21" t="n"/>
      <c r="AC81" s="21" t="n"/>
      <c r="AD81" s="22">
        <f>IF(A81="","",IF(OR(Y81="Descartado",M81="Não contatar",T81="Instagram",AG81="Não"),"Descartar",IF(OR(Y81&lt;&gt;"Verificado",U81="",W81="",X81="",Z81="",AA81="",AE81="",AF81="",AG81&lt;&gt;"Sim, confirmado",AH81=""),"Pendente",IF(AND(Z81&gt;=7,AA81&gt;=6),"Alta",IF(AND(Z81&gt;=5,AA81&gt;=4),"Média","Baixa")))))</f>
        <v/>
      </c>
      <c r="AE81" s="29" t="n"/>
      <c r="AF81" s="29" t="n"/>
      <c r="AG81" s="29" t="n"/>
      <c r="AH81" s="29" t="n"/>
      <c r="AI81" s="30">
        <f>IF(A81="","",IF(AE81="","País a verificar",IF(AE81="Brasil","Brasil","FORA DO BRASIL · "&amp;AE81)))</f>
        <v/>
      </c>
    </row>
    <row r="82" ht="28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7" t="n"/>
      <c r="K82" s="7" t="n"/>
      <c r="L82" s="6" t="n"/>
      <c r="M82" s="6" t="n"/>
      <c r="N82" s="8" t="n"/>
      <c r="O82" s="8" t="n"/>
      <c r="P82" s="7" t="n"/>
      <c r="Q82" s="6" t="n"/>
      <c r="R82" s="6" t="n"/>
      <c r="S82" s="9">
        <f>IF(A82="","",IF(M82="Não contatar","Não contatar",IF(OR(H82="Fechado",H82="Perdido"),"Encerrado",IF(K82="","Sem data",IF(K82&lt;TODAY(),"Atrasado",IF(K82=TODAY(),"Hoje","Agendado")))))))</f>
        <v/>
      </c>
      <c r="T82" s="18" t="n"/>
      <c r="U82" s="18" t="n"/>
      <c r="V82" s="18" t="n"/>
      <c r="W82" s="18" t="n"/>
      <c r="X82" s="19" t="n"/>
      <c r="Y82" s="18" t="n"/>
      <c r="Z82" s="20" t="n"/>
      <c r="AA82" s="20" t="n"/>
      <c r="AB82" s="21" t="n"/>
      <c r="AC82" s="21" t="n"/>
      <c r="AD82" s="22">
        <f>IF(A82="","",IF(OR(Y82="Descartado",M82="Não contatar",T82="Instagram",AG82="Não"),"Descartar",IF(OR(Y82&lt;&gt;"Verificado",U82="",W82="",X82="",Z82="",AA82="",AE82="",AF82="",AG82&lt;&gt;"Sim, confirmado",AH82=""),"Pendente",IF(AND(Z82&gt;=7,AA82&gt;=6),"Alta",IF(AND(Z82&gt;=5,AA82&gt;=4),"Média","Baixa")))))</f>
        <v/>
      </c>
      <c r="AE82" s="29" t="n"/>
      <c r="AF82" s="29" t="n"/>
      <c r="AG82" s="29" t="n"/>
      <c r="AH82" s="29" t="n"/>
      <c r="AI82" s="30">
        <f>IF(A82="","",IF(AE82="","País a verificar",IF(AE82="Brasil","Brasil","FORA DO BRASIL · "&amp;AE82)))</f>
        <v/>
      </c>
    </row>
    <row r="83" ht="28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7" t="n"/>
      <c r="K83" s="7" t="n"/>
      <c r="L83" s="6" t="n"/>
      <c r="M83" s="6" t="n"/>
      <c r="N83" s="8" t="n"/>
      <c r="O83" s="8" t="n"/>
      <c r="P83" s="7" t="n"/>
      <c r="Q83" s="6" t="n"/>
      <c r="R83" s="6" t="n"/>
      <c r="S83" s="9">
        <f>IF(A83="","",IF(M83="Não contatar","Não contatar",IF(OR(H83="Fechado",H83="Perdido"),"Encerrado",IF(K83="","Sem data",IF(K83&lt;TODAY(),"Atrasado",IF(K83=TODAY(),"Hoje","Agendado")))))))</f>
        <v/>
      </c>
      <c r="T83" s="18" t="n"/>
      <c r="U83" s="18" t="n"/>
      <c r="V83" s="18" t="n"/>
      <c r="W83" s="18" t="n"/>
      <c r="X83" s="19" t="n"/>
      <c r="Y83" s="18" t="n"/>
      <c r="Z83" s="20" t="n"/>
      <c r="AA83" s="20" t="n"/>
      <c r="AB83" s="21" t="n"/>
      <c r="AC83" s="21" t="n"/>
      <c r="AD83" s="22">
        <f>IF(A83="","",IF(OR(Y83="Descartado",M83="Não contatar",T83="Instagram",AG83="Não"),"Descartar",IF(OR(Y83&lt;&gt;"Verificado",U83="",W83="",X83="",Z83="",AA83="",AE83="",AF83="",AG83&lt;&gt;"Sim, confirmado",AH83=""),"Pendente",IF(AND(Z83&gt;=7,AA83&gt;=6),"Alta",IF(AND(Z83&gt;=5,AA83&gt;=4),"Média","Baixa")))))</f>
        <v/>
      </c>
      <c r="AE83" s="29" t="n"/>
      <c r="AF83" s="29" t="n"/>
      <c r="AG83" s="29" t="n"/>
      <c r="AH83" s="29" t="n"/>
      <c r="AI83" s="30">
        <f>IF(A83="","",IF(AE83="","País a verificar",IF(AE83="Brasil","Brasil","FORA DO BRASIL · "&amp;AE83)))</f>
        <v/>
      </c>
    </row>
    <row r="84" ht="28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7" t="n"/>
      <c r="K84" s="7" t="n"/>
      <c r="L84" s="6" t="n"/>
      <c r="M84" s="6" t="n"/>
      <c r="N84" s="8" t="n"/>
      <c r="O84" s="8" t="n"/>
      <c r="P84" s="7" t="n"/>
      <c r="Q84" s="6" t="n"/>
      <c r="R84" s="6" t="n"/>
      <c r="S84" s="9">
        <f>IF(A84="","",IF(M84="Não contatar","Não contatar",IF(OR(H84="Fechado",H84="Perdido"),"Encerrado",IF(K84="","Sem data",IF(K84&lt;TODAY(),"Atrasado",IF(K84=TODAY(),"Hoje","Agendado")))))))</f>
        <v/>
      </c>
      <c r="T84" s="18" t="n"/>
      <c r="U84" s="18" t="n"/>
      <c r="V84" s="18" t="n"/>
      <c r="W84" s="18" t="n"/>
      <c r="X84" s="19" t="n"/>
      <c r="Y84" s="18" t="n"/>
      <c r="Z84" s="20" t="n"/>
      <c r="AA84" s="20" t="n"/>
      <c r="AB84" s="21" t="n"/>
      <c r="AC84" s="21" t="n"/>
      <c r="AD84" s="22">
        <f>IF(A84="","",IF(OR(Y84="Descartado",M84="Não contatar",T84="Instagram",AG84="Não"),"Descartar",IF(OR(Y84&lt;&gt;"Verificado",U84="",W84="",X84="",Z84="",AA84="",AE84="",AF84="",AG84&lt;&gt;"Sim, confirmado",AH84=""),"Pendente",IF(AND(Z84&gt;=7,AA84&gt;=6),"Alta",IF(AND(Z84&gt;=5,AA84&gt;=4),"Média","Baixa")))))</f>
        <v/>
      </c>
      <c r="AE84" s="29" t="n"/>
      <c r="AF84" s="29" t="n"/>
      <c r="AG84" s="29" t="n"/>
      <c r="AH84" s="29" t="n"/>
      <c r="AI84" s="30">
        <f>IF(A84="","",IF(AE84="","País a verificar",IF(AE84="Brasil","Brasil","FORA DO BRASIL · "&amp;AE84)))</f>
        <v/>
      </c>
    </row>
    <row r="85" ht="28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7" t="n"/>
      <c r="K85" s="7" t="n"/>
      <c r="L85" s="6" t="n"/>
      <c r="M85" s="6" t="n"/>
      <c r="N85" s="8" t="n"/>
      <c r="O85" s="8" t="n"/>
      <c r="P85" s="7" t="n"/>
      <c r="Q85" s="6" t="n"/>
      <c r="R85" s="6" t="n"/>
      <c r="S85" s="9">
        <f>IF(A85="","",IF(M85="Não contatar","Não contatar",IF(OR(H85="Fechado",H85="Perdido"),"Encerrado",IF(K85="","Sem data",IF(K85&lt;TODAY(),"Atrasado",IF(K85=TODAY(),"Hoje","Agendado")))))))</f>
        <v/>
      </c>
      <c r="T85" s="18" t="n"/>
      <c r="U85" s="18" t="n"/>
      <c r="V85" s="18" t="n"/>
      <c r="W85" s="18" t="n"/>
      <c r="X85" s="19" t="n"/>
      <c r="Y85" s="18" t="n"/>
      <c r="Z85" s="20" t="n"/>
      <c r="AA85" s="20" t="n"/>
      <c r="AB85" s="21" t="n"/>
      <c r="AC85" s="21" t="n"/>
      <c r="AD85" s="22">
        <f>IF(A85="","",IF(OR(Y85="Descartado",M85="Não contatar",T85="Instagram",AG85="Não"),"Descartar",IF(OR(Y85&lt;&gt;"Verificado",U85="",W85="",X85="",Z85="",AA85="",AE85="",AF85="",AG85&lt;&gt;"Sim, confirmado",AH85=""),"Pendente",IF(AND(Z85&gt;=7,AA85&gt;=6),"Alta",IF(AND(Z85&gt;=5,AA85&gt;=4),"Média","Baixa")))))</f>
        <v/>
      </c>
      <c r="AE85" s="29" t="n"/>
      <c r="AF85" s="29" t="n"/>
      <c r="AG85" s="29" t="n"/>
      <c r="AH85" s="29" t="n"/>
      <c r="AI85" s="30">
        <f>IF(A85="","",IF(AE85="","País a verificar",IF(AE85="Brasil","Brasil","FORA DO BRASIL · "&amp;AE85)))</f>
        <v/>
      </c>
    </row>
    <row r="86" ht="28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7" t="n"/>
      <c r="K86" s="7" t="n"/>
      <c r="L86" s="6" t="n"/>
      <c r="M86" s="6" t="n"/>
      <c r="N86" s="8" t="n"/>
      <c r="O86" s="8" t="n"/>
      <c r="P86" s="7" t="n"/>
      <c r="Q86" s="6" t="n"/>
      <c r="R86" s="6" t="n"/>
      <c r="S86" s="9">
        <f>IF(A86="","",IF(M86="Não contatar","Não contatar",IF(OR(H86="Fechado",H86="Perdido"),"Encerrado",IF(K86="","Sem data",IF(K86&lt;TODAY(),"Atrasado",IF(K86=TODAY(),"Hoje","Agendado")))))))</f>
        <v/>
      </c>
      <c r="T86" s="18" t="n"/>
      <c r="U86" s="18" t="n"/>
      <c r="V86" s="18" t="n"/>
      <c r="W86" s="18" t="n"/>
      <c r="X86" s="19" t="n"/>
      <c r="Y86" s="18" t="n"/>
      <c r="Z86" s="20" t="n"/>
      <c r="AA86" s="20" t="n"/>
      <c r="AB86" s="21" t="n"/>
      <c r="AC86" s="21" t="n"/>
      <c r="AD86" s="22">
        <f>IF(A86="","",IF(OR(Y86="Descartado",M86="Não contatar",T86="Instagram",AG86="Não"),"Descartar",IF(OR(Y86&lt;&gt;"Verificado",U86="",W86="",X86="",Z86="",AA86="",AE86="",AF86="",AG86&lt;&gt;"Sim, confirmado",AH86=""),"Pendente",IF(AND(Z86&gt;=7,AA86&gt;=6),"Alta",IF(AND(Z86&gt;=5,AA86&gt;=4),"Média","Baixa")))))</f>
        <v/>
      </c>
      <c r="AE86" s="29" t="n"/>
      <c r="AF86" s="29" t="n"/>
      <c r="AG86" s="29" t="n"/>
      <c r="AH86" s="29" t="n"/>
      <c r="AI86" s="30">
        <f>IF(A86="","",IF(AE86="","País a verificar",IF(AE86="Brasil","Brasil","FORA DO BRASIL · "&amp;AE86)))</f>
        <v/>
      </c>
    </row>
    <row r="87" ht="28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7" t="n"/>
      <c r="K87" s="7" t="n"/>
      <c r="L87" s="6" t="n"/>
      <c r="M87" s="6" t="n"/>
      <c r="N87" s="8" t="n"/>
      <c r="O87" s="8" t="n"/>
      <c r="P87" s="7" t="n"/>
      <c r="Q87" s="6" t="n"/>
      <c r="R87" s="6" t="n"/>
      <c r="S87" s="9">
        <f>IF(A87="","",IF(M87="Não contatar","Não contatar",IF(OR(H87="Fechado",H87="Perdido"),"Encerrado",IF(K87="","Sem data",IF(K87&lt;TODAY(),"Atrasado",IF(K87=TODAY(),"Hoje","Agendado")))))))</f>
        <v/>
      </c>
      <c r="T87" s="18" t="n"/>
      <c r="U87" s="18" t="n"/>
      <c r="V87" s="18" t="n"/>
      <c r="W87" s="18" t="n"/>
      <c r="X87" s="19" t="n"/>
      <c r="Y87" s="18" t="n"/>
      <c r="Z87" s="20" t="n"/>
      <c r="AA87" s="20" t="n"/>
      <c r="AB87" s="21" t="n"/>
      <c r="AC87" s="21" t="n"/>
      <c r="AD87" s="22">
        <f>IF(A87="","",IF(OR(Y87="Descartado",M87="Não contatar",T87="Instagram",AG87="Não"),"Descartar",IF(OR(Y87&lt;&gt;"Verificado",U87="",W87="",X87="",Z87="",AA87="",AE87="",AF87="",AG87&lt;&gt;"Sim, confirmado",AH87=""),"Pendente",IF(AND(Z87&gt;=7,AA87&gt;=6),"Alta",IF(AND(Z87&gt;=5,AA87&gt;=4),"Média","Baixa")))))</f>
        <v/>
      </c>
      <c r="AE87" s="29" t="n"/>
      <c r="AF87" s="29" t="n"/>
      <c r="AG87" s="29" t="n"/>
      <c r="AH87" s="29" t="n"/>
      <c r="AI87" s="30">
        <f>IF(A87="","",IF(AE87="","País a verificar",IF(AE87="Brasil","Brasil","FORA DO BRASIL · "&amp;AE87)))</f>
        <v/>
      </c>
    </row>
    <row r="88" ht="28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7" t="n"/>
      <c r="K88" s="7" t="n"/>
      <c r="L88" s="6" t="n"/>
      <c r="M88" s="6" t="n"/>
      <c r="N88" s="8" t="n"/>
      <c r="O88" s="8" t="n"/>
      <c r="P88" s="7" t="n"/>
      <c r="Q88" s="6" t="n"/>
      <c r="R88" s="6" t="n"/>
      <c r="S88" s="9">
        <f>IF(A88="","",IF(M88="Não contatar","Não contatar",IF(OR(H88="Fechado",H88="Perdido"),"Encerrado",IF(K88="","Sem data",IF(K88&lt;TODAY(),"Atrasado",IF(K88=TODAY(),"Hoje","Agendado")))))))</f>
        <v/>
      </c>
      <c r="T88" s="18" t="n"/>
      <c r="U88" s="18" t="n"/>
      <c r="V88" s="18" t="n"/>
      <c r="W88" s="18" t="n"/>
      <c r="X88" s="19" t="n"/>
      <c r="Y88" s="18" t="n"/>
      <c r="Z88" s="20" t="n"/>
      <c r="AA88" s="20" t="n"/>
      <c r="AB88" s="21" t="n"/>
      <c r="AC88" s="21" t="n"/>
      <c r="AD88" s="22">
        <f>IF(A88="","",IF(OR(Y88="Descartado",M88="Não contatar",T88="Instagram",AG88="Não"),"Descartar",IF(OR(Y88&lt;&gt;"Verificado",U88="",W88="",X88="",Z88="",AA88="",AE88="",AF88="",AG88&lt;&gt;"Sim, confirmado",AH88=""),"Pendente",IF(AND(Z88&gt;=7,AA88&gt;=6),"Alta",IF(AND(Z88&gt;=5,AA88&gt;=4),"Média","Baixa")))))</f>
        <v/>
      </c>
      <c r="AE88" s="29" t="n"/>
      <c r="AF88" s="29" t="n"/>
      <c r="AG88" s="29" t="n"/>
      <c r="AH88" s="29" t="n"/>
      <c r="AI88" s="30">
        <f>IF(A88="","",IF(AE88="","País a verificar",IF(AE88="Brasil","Brasil","FORA DO BRASIL · "&amp;AE88)))</f>
        <v/>
      </c>
    </row>
    <row r="89" ht="28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7" t="n"/>
      <c r="K89" s="7" t="n"/>
      <c r="L89" s="6" t="n"/>
      <c r="M89" s="6" t="n"/>
      <c r="N89" s="8" t="n"/>
      <c r="O89" s="8" t="n"/>
      <c r="P89" s="7" t="n"/>
      <c r="Q89" s="6" t="n"/>
      <c r="R89" s="6" t="n"/>
      <c r="S89" s="9">
        <f>IF(A89="","",IF(M89="Não contatar","Não contatar",IF(OR(H89="Fechado",H89="Perdido"),"Encerrado",IF(K89="","Sem data",IF(K89&lt;TODAY(),"Atrasado",IF(K89=TODAY(),"Hoje","Agendado")))))))</f>
        <v/>
      </c>
      <c r="T89" s="18" t="n"/>
      <c r="U89" s="18" t="n"/>
      <c r="V89" s="18" t="n"/>
      <c r="W89" s="18" t="n"/>
      <c r="X89" s="19" t="n"/>
      <c r="Y89" s="18" t="n"/>
      <c r="Z89" s="20" t="n"/>
      <c r="AA89" s="20" t="n"/>
      <c r="AB89" s="21" t="n"/>
      <c r="AC89" s="21" t="n"/>
      <c r="AD89" s="22">
        <f>IF(A89="","",IF(OR(Y89="Descartado",M89="Não contatar",T89="Instagram",AG89="Não"),"Descartar",IF(OR(Y89&lt;&gt;"Verificado",U89="",W89="",X89="",Z89="",AA89="",AE89="",AF89="",AG89&lt;&gt;"Sim, confirmado",AH89=""),"Pendente",IF(AND(Z89&gt;=7,AA89&gt;=6),"Alta",IF(AND(Z89&gt;=5,AA89&gt;=4),"Média","Baixa")))))</f>
        <v/>
      </c>
      <c r="AE89" s="29" t="n"/>
      <c r="AF89" s="29" t="n"/>
      <c r="AG89" s="29" t="n"/>
      <c r="AH89" s="29" t="n"/>
      <c r="AI89" s="30">
        <f>IF(A89="","",IF(AE89="","País a verificar",IF(AE89="Brasil","Brasil","FORA DO BRASIL · "&amp;AE89)))</f>
        <v/>
      </c>
    </row>
    <row r="90" ht="28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7" t="n"/>
      <c r="K90" s="7" t="n"/>
      <c r="L90" s="6" t="n"/>
      <c r="M90" s="6" t="n"/>
      <c r="N90" s="8" t="n"/>
      <c r="O90" s="8" t="n"/>
      <c r="P90" s="7" t="n"/>
      <c r="Q90" s="6" t="n"/>
      <c r="R90" s="6" t="n"/>
      <c r="S90" s="9">
        <f>IF(A90="","",IF(M90="Não contatar","Não contatar",IF(OR(H90="Fechado",H90="Perdido"),"Encerrado",IF(K90="","Sem data",IF(K90&lt;TODAY(),"Atrasado",IF(K90=TODAY(),"Hoje","Agendado")))))))</f>
        <v/>
      </c>
      <c r="T90" s="18" t="n"/>
      <c r="U90" s="18" t="n"/>
      <c r="V90" s="18" t="n"/>
      <c r="W90" s="18" t="n"/>
      <c r="X90" s="19" t="n"/>
      <c r="Y90" s="18" t="n"/>
      <c r="Z90" s="20" t="n"/>
      <c r="AA90" s="20" t="n"/>
      <c r="AB90" s="21" t="n"/>
      <c r="AC90" s="21" t="n"/>
      <c r="AD90" s="22">
        <f>IF(A90="","",IF(OR(Y90="Descartado",M90="Não contatar",T90="Instagram",AG90="Não"),"Descartar",IF(OR(Y90&lt;&gt;"Verificado",U90="",W90="",X90="",Z90="",AA90="",AE90="",AF90="",AG90&lt;&gt;"Sim, confirmado",AH90=""),"Pendente",IF(AND(Z90&gt;=7,AA90&gt;=6),"Alta",IF(AND(Z90&gt;=5,AA90&gt;=4),"Média","Baixa")))))</f>
        <v/>
      </c>
      <c r="AE90" s="29" t="n"/>
      <c r="AF90" s="29" t="n"/>
      <c r="AG90" s="29" t="n"/>
      <c r="AH90" s="29" t="n"/>
      <c r="AI90" s="30">
        <f>IF(A90="","",IF(AE90="","País a verificar",IF(AE90="Brasil","Brasil","FORA DO BRASIL · "&amp;AE90)))</f>
        <v/>
      </c>
    </row>
    <row r="91" ht="28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7" t="n"/>
      <c r="K91" s="7" t="n"/>
      <c r="L91" s="6" t="n"/>
      <c r="M91" s="6" t="n"/>
      <c r="N91" s="8" t="n"/>
      <c r="O91" s="8" t="n"/>
      <c r="P91" s="7" t="n"/>
      <c r="Q91" s="6" t="n"/>
      <c r="R91" s="6" t="n"/>
      <c r="S91" s="9">
        <f>IF(A91="","",IF(M91="Não contatar","Não contatar",IF(OR(H91="Fechado",H91="Perdido"),"Encerrado",IF(K91="","Sem data",IF(K91&lt;TODAY(),"Atrasado",IF(K91=TODAY(),"Hoje","Agendado")))))))</f>
        <v/>
      </c>
      <c r="T91" s="18" t="n"/>
      <c r="U91" s="18" t="n"/>
      <c r="V91" s="18" t="n"/>
      <c r="W91" s="18" t="n"/>
      <c r="X91" s="19" t="n"/>
      <c r="Y91" s="18" t="n"/>
      <c r="Z91" s="20" t="n"/>
      <c r="AA91" s="20" t="n"/>
      <c r="AB91" s="21" t="n"/>
      <c r="AC91" s="21" t="n"/>
      <c r="AD91" s="22">
        <f>IF(A91="","",IF(OR(Y91="Descartado",M91="Não contatar",T91="Instagram",AG91="Não"),"Descartar",IF(OR(Y91&lt;&gt;"Verificado",U91="",W91="",X91="",Z91="",AA91="",AE91="",AF91="",AG91&lt;&gt;"Sim, confirmado",AH91=""),"Pendente",IF(AND(Z91&gt;=7,AA91&gt;=6),"Alta",IF(AND(Z91&gt;=5,AA91&gt;=4),"Média","Baixa")))))</f>
        <v/>
      </c>
      <c r="AE91" s="29" t="n"/>
      <c r="AF91" s="29" t="n"/>
      <c r="AG91" s="29" t="n"/>
      <c r="AH91" s="29" t="n"/>
      <c r="AI91" s="30">
        <f>IF(A91="","",IF(AE91="","País a verificar",IF(AE91="Brasil","Brasil","FORA DO BRASIL · "&amp;AE91)))</f>
        <v/>
      </c>
    </row>
    <row r="92" ht="28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7" t="n"/>
      <c r="K92" s="7" t="n"/>
      <c r="L92" s="6" t="n"/>
      <c r="M92" s="6" t="n"/>
      <c r="N92" s="8" t="n"/>
      <c r="O92" s="8" t="n"/>
      <c r="P92" s="7" t="n"/>
      <c r="Q92" s="6" t="n"/>
      <c r="R92" s="6" t="n"/>
      <c r="S92" s="9">
        <f>IF(A92="","",IF(M92="Não contatar","Não contatar",IF(OR(H92="Fechado",H92="Perdido"),"Encerrado",IF(K92="","Sem data",IF(K92&lt;TODAY(),"Atrasado",IF(K92=TODAY(),"Hoje","Agendado")))))))</f>
        <v/>
      </c>
      <c r="T92" s="18" t="n"/>
      <c r="U92" s="18" t="n"/>
      <c r="V92" s="18" t="n"/>
      <c r="W92" s="18" t="n"/>
      <c r="X92" s="19" t="n"/>
      <c r="Y92" s="18" t="n"/>
      <c r="Z92" s="20" t="n"/>
      <c r="AA92" s="20" t="n"/>
      <c r="AB92" s="21" t="n"/>
      <c r="AC92" s="21" t="n"/>
      <c r="AD92" s="22">
        <f>IF(A92="","",IF(OR(Y92="Descartado",M92="Não contatar",T92="Instagram",AG92="Não"),"Descartar",IF(OR(Y92&lt;&gt;"Verificado",U92="",W92="",X92="",Z92="",AA92="",AE92="",AF92="",AG92&lt;&gt;"Sim, confirmado",AH92=""),"Pendente",IF(AND(Z92&gt;=7,AA92&gt;=6),"Alta",IF(AND(Z92&gt;=5,AA92&gt;=4),"Média","Baixa")))))</f>
        <v/>
      </c>
      <c r="AE92" s="29" t="n"/>
      <c r="AF92" s="29" t="n"/>
      <c r="AG92" s="29" t="n"/>
      <c r="AH92" s="29" t="n"/>
      <c r="AI92" s="30">
        <f>IF(A92="","",IF(AE92="","País a verificar",IF(AE92="Brasil","Brasil","FORA DO BRASIL · "&amp;AE92)))</f>
        <v/>
      </c>
    </row>
    <row r="93" ht="28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7" t="n"/>
      <c r="K93" s="7" t="n"/>
      <c r="L93" s="6" t="n"/>
      <c r="M93" s="6" t="n"/>
      <c r="N93" s="8" t="n"/>
      <c r="O93" s="8" t="n"/>
      <c r="P93" s="7" t="n"/>
      <c r="Q93" s="6" t="n"/>
      <c r="R93" s="6" t="n"/>
      <c r="S93" s="9">
        <f>IF(A93="","",IF(M93="Não contatar","Não contatar",IF(OR(H93="Fechado",H93="Perdido"),"Encerrado",IF(K93="","Sem data",IF(K93&lt;TODAY(),"Atrasado",IF(K93=TODAY(),"Hoje","Agendado")))))))</f>
        <v/>
      </c>
      <c r="T93" s="18" t="n"/>
      <c r="U93" s="18" t="n"/>
      <c r="V93" s="18" t="n"/>
      <c r="W93" s="18" t="n"/>
      <c r="X93" s="19" t="n"/>
      <c r="Y93" s="18" t="n"/>
      <c r="Z93" s="20" t="n"/>
      <c r="AA93" s="20" t="n"/>
      <c r="AB93" s="21" t="n"/>
      <c r="AC93" s="21" t="n"/>
      <c r="AD93" s="22">
        <f>IF(A93="","",IF(OR(Y93="Descartado",M93="Não contatar",T93="Instagram",AG93="Não"),"Descartar",IF(OR(Y93&lt;&gt;"Verificado",U93="",W93="",X93="",Z93="",AA93="",AE93="",AF93="",AG93&lt;&gt;"Sim, confirmado",AH93=""),"Pendente",IF(AND(Z93&gt;=7,AA93&gt;=6),"Alta",IF(AND(Z93&gt;=5,AA93&gt;=4),"Média","Baixa")))))</f>
        <v/>
      </c>
      <c r="AE93" s="29" t="n"/>
      <c r="AF93" s="29" t="n"/>
      <c r="AG93" s="29" t="n"/>
      <c r="AH93" s="29" t="n"/>
      <c r="AI93" s="30">
        <f>IF(A93="","",IF(AE93="","País a verificar",IF(AE93="Brasil","Brasil","FORA DO BRASIL · "&amp;AE93)))</f>
        <v/>
      </c>
    </row>
    <row r="94" ht="28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7" t="n"/>
      <c r="K94" s="7" t="n"/>
      <c r="L94" s="6" t="n"/>
      <c r="M94" s="6" t="n"/>
      <c r="N94" s="8" t="n"/>
      <c r="O94" s="8" t="n"/>
      <c r="P94" s="7" t="n"/>
      <c r="Q94" s="6" t="n"/>
      <c r="R94" s="6" t="n"/>
      <c r="S94" s="9">
        <f>IF(A94="","",IF(M94="Não contatar","Não contatar",IF(OR(H94="Fechado",H94="Perdido"),"Encerrado",IF(K94="","Sem data",IF(K94&lt;TODAY(),"Atrasado",IF(K94=TODAY(),"Hoje","Agendado")))))))</f>
        <v/>
      </c>
      <c r="T94" s="18" t="n"/>
      <c r="U94" s="18" t="n"/>
      <c r="V94" s="18" t="n"/>
      <c r="W94" s="18" t="n"/>
      <c r="X94" s="19" t="n"/>
      <c r="Y94" s="18" t="n"/>
      <c r="Z94" s="20" t="n"/>
      <c r="AA94" s="20" t="n"/>
      <c r="AB94" s="21" t="n"/>
      <c r="AC94" s="21" t="n"/>
      <c r="AD94" s="22">
        <f>IF(A94="","",IF(OR(Y94="Descartado",M94="Não contatar",T94="Instagram",AG94="Não"),"Descartar",IF(OR(Y94&lt;&gt;"Verificado",U94="",W94="",X94="",Z94="",AA94="",AE94="",AF94="",AG94&lt;&gt;"Sim, confirmado",AH94=""),"Pendente",IF(AND(Z94&gt;=7,AA94&gt;=6),"Alta",IF(AND(Z94&gt;=5,AA94&gt;=4),"Média","Baixa")))))</f>
        <v/>
      </c>
      <c r="AE94" s="29" t="n"/>
      <c r="AF94" s="29" t="n"/>
      <c r="AG94" s="29" t="n"/>
      <c r="AH94" s="29" t="n"/>
      <c r="AI94" s="30">
        <f>IF(A94="","",IF(AE94="","País a verificar",IF(AE94="Brasil","Brasil","FORA DO BRASIL · "&amp;AE94)))</f>
        <v/>
      </c>
    </row>
    <row r="95" ht="28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7" t="n"/>
      <c r="K95" s="7" t="n"/>
      <c r="L95" s="6" t="n"/>
      <c r="M95" s="6" t="n"/>
      <c r="N95" s="8" t="n"/>
      <c r="O95" s="8" t="n"/>
      <c r="P95" s="7" t="n"/>
      <c r="Q95" s="6" t="n"/>
      <c r="R95" s="6" t="n"/>
      <c r="S95" s="9">
        <f>IF(A95="","",IF(M95="Não contatar","Não contatar",IF(OR(H95="Fechado",H95="Perdido"),"Encerrado",IF(K95="","Sem data",IF(K95&lt;TODAY(),"Atrasado",IF(K95=TODAY(),"Hoje","Agendado")))))))</f>
        <v/>
      </c>
      <c r="T95" s="18" t="n"/>
      <c r="U95" s="18" t="n"/>
      <c r="V95" s="18" t="n"/>
      <c r="W95" s="18" t="n"/>
      <c r="X95" s="19" t="n"/>
      <c r="Y95" s="18" t="n"/>
      <c r="Z95" s="20" t="n"/>
      <c r="AA95" s="20" t="n"/>
      <c r="AB95" s="21" t="n"/>
      <c r="AC95" s="21" t="n"/>
      <c r="AD95" s="22">
        <f>IF(A95="","",IF(OR(Y95="Descartado",M95="Não contatar",T95="Instagram",AG95="Não"),"Descartar",IF(OR(Y95&lt;&gt;"Verificado",U95="",W95="",X95="",Z95="",AA95="",AE95="",AF95="",AG95&lt;&gt;"Sim, confirmado",AH95=""),"Pendente",IF(AND(Z95&gt;=7,AA95&gt;=6),"Alta",IF(AND(Z95&gt;=5,AA95&gt;=4),"Média","Baixa")))))</f>
        <v/>
      </c>
      <c r="AE95" s="29" t="n"/>
      <c r="AF95" s="29" t="n"/>
      <c r="AG95" s="29" t="n"/>
      <c r="AH95" s="29" t="n"/>
      <c r="AI95" s="30">
        <f>IF(A95="","",IF(AE95="","País a verificar",IF(AE95="Brasil","Brasil","FORA DO BRASIL · "&amp;AE95)))</f>
        <v/>
      </c>
    </row>
    <row r="96" ht="28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7" t="n"/>
      <c r="K96" s="7" t="n"/>
      <c r="L96" s="6" t="n"/>
      <c r="M96" s="6" t="n"/>
      <c r="N96" s="8" t="n"/>
      <c r="O96" s="8" t="n"/>
      <c r="P96" s="7" t="n"/>
      <c r="Q96" s="6" t="n"/>
      <c r="R96" s="6" t="n"/>
      <c r="S96" s="9">
        <f>IF(A96="","",IF(M96="Não contatar","Não contatar",IF(OR(H96="Fechado",H96="Perdido"),"Encerrado",IF(K96="","Sem data",IF(K96&lt;TODAY(),"Atrasado",IF(K96=TODAY(),"Hoje","Agendado")))))))</f>
        <v/>
      </c>
      <c r="T96" s="18" t="n"/>
      <c r="U96" s="18" t="n"/>
      <c r="V96" s="18" t="n"/>
      <c r="W96" s="18" t="n"/>
      <c r="X96" s="19" t="n"/>
      <c r="Y96" s="18" t="n"/>
      <c r="Z96" s="20" t="n"/>
      <c r="AA96" s="20" t="n"/>
      <c r="AB96" s="21" t="n"/>
      <c r="AC96" s="21" t="n"/>
      <c r="AD96" s="22">
        <f>IF(A96="","",IF(OR(Y96="Descartado",M96="Não contatar",T96="Instagram",AG96="Não"),"Descartar",IF(OR(Y96&lt;&gt;"Verificado",U96="",W96="",X96="",Z96="",AA96="",AE96="",AF96="",AG96&lt;&gt;"Sim, confirmado",AH96=""),"Pendente",IF(AND(Z96&gt;=7,AA96&gt;=6),"Alta",IF(AND(Z96&gt;=5,AA96&gt;=4),"Média","Baixa")))))</f>
        <v/>
      </c>
      <c r="AE96" s="29" t="n"/>
      <c r="AF96" s="29" t="n"/>
      <c r="AG96" s="29" t="n"/>
      <c r="AH96" s="29" t="n"/>
      <c r="AI96" s="30">
        <f>IF(A96="","",IF(AE96="","País a verificar",IF(AE96="Brasil","Brasil","FORA DO BRASIL · "&amp;AE96)))</f>
        <v/>
      </c>
    </row>
    <row r="97" ht="28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7" t="n"/>
      <c r="K97" s="7" t="n"/>
      <c r="L97" s="6" t="n"/>
      <c r="M97" s="6" t="n"/>
      <c r="N97" s="8" t="n"/>
      <c r="O97" s="8" t="n"/>
      <c r="P97" s="7" t="n"/>
      <c r="Q97" s="6" t="n"/>
      <c r="R97" s="6" t="n"/>
      <c r="S97" s="9">
        <f>IF(A97="","",IF(M97="Não contatar","Não contatar",IF(OR(H97="Fechado",H97="Perdido"),"Encerrado",IF(K97="","Sem data",IF(K97&lt;TODAY(),"Atrasado",IF(K97=TODAY(),"Hoje","Agendado")))))))</f>
        <v/>
      </c>
      <c r="T97" s="18" t="n"/>
      <c r="U97" s="18" t="n"/>
      <c r="V97" s="18" t="n"/>
      <c r="W97" s="18" t="n"/>
      <c r="X97" s="19" t="n"/>
      <c r="Y97" s="18" t="n"/>
      <c r="Z97" s="20" t="n"/>
      <c r="AA97" s="20" t="n"/>
      <c r="AB97" s="21" t="n"/>
      <c r="AC97" s="21" t="n"/>
      <c r="AD97" s="22">
        <f>IF(A97="","",IF(OR(Y97="Descartado",M97="Não contatar",T97="Instagram",AG97="Não"),"Descartar",IF(OR(Y97&lt;&gt;"Verificado",U97="",W97="",X97="",Z97="",AA97="",AE97="",AF97="",AG97&lt;&gt;"Sim, confirmado",AH97=""),"Pendente",IF(AND(Z97&gt;=7,AA97&gt;=6),"Alta",IF(AND(Z97&gt;=5,AA97&gt;=4),"Média","Baixa")))))</f>
        <v/>
      </c>
      <c r="AE97" s="29" t="n"/>
      <c r="AF97" s="29" t="n"/>
      <c r="AG97" s="29" t="n"/>
      <c r="AH97" s="29" t="n"/>
      <c r="AI97" s="30">
        <f>IF(A97="","",IF(AE97="","País a verificar",IF(AE97="Brasil","Brasil","FORA DO BRASIL · "&amp;AE97)))</f>
        <v/>
      </c>
    </row>
    <row r="98" ht="28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7" t="n"/>
      <c r="K98" s="7" t="n"/>
      <c r="L98" s="6" t="n"/>
      <c r="M98" s="6" t="n"/>
      <c r="N98" s="8" t="n"/>
      <c r="O98" s="8" t="n"/>
      <c r="P98" s="7" t="n"/>
      <c r="Q98" s="6" t="n"/>
      <c r="R98" s="6" t="n"/>
      <c r="S98" s="9">
        <f>IF(A98="","",IF(M98="Não contatar","Não contatar",IF(OR(H98="Fechado",H98="Perdido"),"Encerrado",IF(K98="","Sem data",IF(K98&lt;TODAY(),"Atrasado",IF(K98=TODAY(),"Hoje","Agendado")))))))</f>
        <v/>
      </c>
      <c r="T98" s="18" t="n"/>
      <c r="U98" s="18" t="n"/>
      <c r="V98" s="18" t="n"/>
      <c r="W98" s="18" t="n"/>
      <c r="X98" s="19" t="n"/>
      <c r="Y98" s="18" t="n"/>
      <c r="Z98" s="20" t="n"/>
      <c r="AA98" s="20" t="n"/>
      <c r="AB98" s="21" t="n"/>
      <c r="AC98" s="21" t="n"/>
      <c r="AD98" s="22">
        <f>IF(A98="","",IF(OR(Y98="Descartado",M98="Não contatar",T98="Instagram",AG98="Não"),"Descartar",IF(OR(Y98&lt;&gt;"Verificado",U98="",W98="",X98="",Z98="",AA98="",AE98="",AF98="",AG98&lt;&gt;"Sim, confirmado",AH98=""),"Pendente",IF(AND(Z98&gt;=7,AA98&gt;=6),"Alta",IF(AND(Z98&gt;=5,AA98&gt;=4),"Média","Baixa")))))</f>
        <v/>
      </c>
      <c r="AE98" s="29" t="n"/>
      <c r="AF98" s="29" t="n"/>
      <c r="AG98" s="29" t="n"/>
      <c r="AH98" s="29" t="n"/>
      <c r="AI98" s="30">
        <f>IF(A98="","",IF(AE98="","País a verificar",IF(AE98="Brasil","Brasil","FORA DO BRASIL · "&amp;AE98)))</f>
        <v/>
      </c>
    </row>
    <row r="99" ht="28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7" t="n"/>
      <c r="K99" s="7" t="n"/>
      <c r="L99" s="6" t="n"/>
      <c r="M99" s="6" t="n"/>
      <c r="N99" s="8" t="n"/>
      <c r="O99" s="8" t="n"/>
      <c r="P99" s="7" t="n"/>
      <c r="Q99" s="6" t="n"/>
      <c r="R99" s="6" t="n"/>
      <c r="S99" s="9">
        <f>IF(A99="","",IF(M99="Não contatar","Não contatar",IF(OR(H99="Fechado",H99="Perdido"),"Encerrado",IF(K99="","Sem data",IF(K99&lt;TODAY(),"Atrasado",IF(K99=TODAY(),"Hoje","Agendado")))))))</f>
        <v/>
      </c>
      <c r="T99" s="18" t="n"/>
      <c r="U99" s="18" t="n"/>
      <c r="V99" s="18" t="n"/>
      <c r="W99" s="18" t="n"/>
      <c r="X99" s="19" t="n"/>
      <c r="Y99" s="18" t="n"/>
      <c r="Z99" s="20" t="n"/>
      <c r="AA99" s="20" t="n"/>
      <c r="AB99" s="21" t="n"/>
      <c r="AC99" s="21" t="n"/>
      <c r="AD99" s="22">
        <f>IF(A99="","",IF(OR(Y99="Descartado",M99="Não contatar",T99="Instagram",AG99="Não"),"Descartar",IF(OR(Y99&lt;&gt;"Verificado",U99="",W99="",X99="",Z99="",AA99="",AE99="",AF99="",AG99&lt;&gt;"Sim, confirmado",AH99=""),"Pendente",IF(AND(Z99&gt;=7,AA99&gt;=6),"Alta",IF(AND(Z99&gt;=5,AA99&gt;=4),"Média","Baixa")))))</f>
        <v/>
      </c>
      <c r="AE99" s="29" t="n"/>
      <c r="AF99" s="29" t="n"/>
      <c r="AG99" s="29" t="n"/>
      <c r="AH99" s="29" t="n"/>
      <c r="AI99" s="30">
        <f>IF(A99="","",IF(AE99="","País a verificar",IF(AE99="Brasil","Brasil","FORA DO BRASIL · "&amp;AE99)))</f>
        <v/>
      </c>
    </row>
    <row r="100" ht="28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7" t="n"/>
      <c r="K100" s="7" t="n"/>
      <c r="L100" s="6" t="n"/>
      <c r="M100" s="6" t="n"/>
      <c r="N100" s="8" t="n"/>
      <c r="O100" s="8" t="n"/>
      <c r="P100" s="7" t="n"/>
      <c r="Q100" s="6" t="n"/>
      <c r="R100" s="6" t="n"/>
      <c r="S100" s="9">
        <f>IF(A100="","",IF(M100="Não contatar","Não contatar",IF(OR(H100="Fechado",H100="Perdido"),"Encerrado",IF(K100="","Sem data",IF(K100&lt;TODAY(),"Atrasado",IF(K100=TODAY(),"Hoje","Agendado")))))))</f>
        <v/>
      </c>
      <c r="T100" s="18" t="n"/>
      <c r="U100" s="18" t="n"/>
      <c r="V100" s="18" t="n"/>
      <c r="W100" s="18" t="n"/>
      <c r="X100" s="19" t="n"/>
      <c r="Y100" s="18" t="n"/>
      <c r="Z100" s="20" t="n"/>
      <c r="AA100" s="20" t="n"/>
      <c r="AB100" s="21" t="n"/>
      <c r="AC100" s="21" t="n"/>
      <c r="AD100" s="22">
        <f>IF(A100="","",IF(OR(Y100="Descartado",M100="Não contatar",T100="Instagram",AG100="Não"),"Descartar",IF(OR(Y100&lt;&gt;"Verificado",U100="",W100="",X100="",Z100="",AA100="",AE100="",AF100="",AG100&lt;&gt;"Sim, confirmado",AH100=""),"Pendente",IF(AND(Z100&gt;=7,AA100&gt;=6),"Alta",IF(AND(Z100&gt;=5,AA100&gt;=4),"Média","Baixa")))))</f>
        <v/>
      </c>
      <c r="AE100" s="29" t="n"/>
      <c r="AF100" s="29" t="n"/>
      <c r="AG100" s="29" t="n"/>
      <c r="AH100" s="29" t="n"/>
      <c r="AI100" s="30">
        <f>IF(A100="","",IF(AE100="","País a verificar",IF(AE100="Brasil","Brasil","FORA DO BRASIL · "&amp;AE100)))</f>
        <v/>
      </c>
    </row>
    <row r="101" ht="28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7" t="n"/>
      <c r="K101" s="7" t="n"/>
      <c r="L101" s="6" t="n"/>
      <c r="M101" s="6" t="n"/>
      <c r="N101" s="8" t="n"/>
      <c r="O101" s="8" t="n"/>
      <c r="P101" s="7" t="n"/>
      <c r="Q101" s="6" t="n"/>
      <c r="R101" s="6" t="n"/>
      <c r="S101" s="9">
        <f>IF(A101="","",IF(M101="Não contatar","Não contatar",IF(OR(H101="Fechado",H101="Perdido"),"Encerrado",IF(K101="","Sem data",IF(K101&lt;TODAY(),"Atrasado",IF(K101=TODAY(),"Hoje","Agendado")))))))</f>
        <v/>
      </c>
      <c r="T101" s="18" t="n"/>
      <c r="U101" s="18" t="n"/>
      <c r="V101" s="18" t="n"/>
      <c r="W101" s="18" t="n"/>
      <c r="X101" s="19" t="n"/>
      <c r="Y101" s="18" t="n"/>
      <c r="Z101" s="20" t="n"/>
      <c r="AA101" s="20" t="n"/>
      <c r="AB101" s="21" t="n"/>
      <c r="AC101" s="21" t="n"/>
      <c r="AD101" s="22">
        <f>IF(A101="","",IF(OR(Y101="Descartado",M101="Não contatar",T101="Instagram",AG101="Não"),"Descartar",IF(OR(Y101&lt;&gt;"Verificado",U101="",W101="",X101="",Z101="",AA101="",AE101="",AF101="",AG101&lt;&gt;"Sim, confirmado",AH101=""),"Pendente",IF(AND(Z101&gt;=7,AA101&gt;=6),"Alta",IF(AND(Z101&gt;=5,AA101&gt;=4),"Média","Baixa")))))</f>
        <v/>
      </c>
      <c r="AE101" s="29" t="n"/>
      <c r="AF101" s="29" t="n"/>
      <c r="AG101" s="29" t="n"/>
      <c r="AH101" s="29" t="n"/>
      <c r="AI101" s="30">
        <f>IF(A101="","",IF(AE101="","País a verificar",IF(AE101="Brasil","Brasil","FORA DO BRASIL · "&amp;AE101)))</f>
        <v/>
      </c>
    </row>
    <row r="102" ht="28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7" t="n"/>
      <c r="K102" s="7" t="n"/>
      <c r="L102" s="6" t="n"/>
      <c r="M102" s="6" t="n"/>
      <c r="N102" s="8" t="n"/>
      <c r="O102" s="8" t="n"/>
      <c r="P102" s="7" t="n"/>
      <c r="Q102" s="6" t="n"/>
      <c r="R102" s="6" t="n"/>
      <c r="S102" s="9">
        <f>IF(A102="","",IF(M102="Não contatar","Não contatar",IF(OR(H102="Fechado",H102="Perdido"),"Encerrado",IF(K102="","Sem data",IF(K102&lt;TODAY(),"Atrasado",IF(K102=TODAY(),"Hoje","Agendado")))))))</f>
        <v/>
      </c>
      <c r="T102" s="18" t="n"/>
      <c r="U102" s="18" t="n"/>
      <c r="V102" s="18" t="n"/>
      <c r="W102" s="18" t="n"/>
      <c r="X102" s="19" t="n"/>
      <c r="Y102" s="18" t="n"/>
      <c r="Z102" s="20" t="n"/>
      <c r="AA102" s="20" t="n"/>
      <c r="AB102" s="21" t="n"/>
      <c r="AC102" s="21" t="n"/>
      <c r="AD102" s="22">
        <f>IF(A102="","",IF(OR(Y102="Descartado",M102="Não contatar",T102="Instagram",AG102="Não"),"Descartar",IF(OR(Y102&lt;&gt;"Verificado",U102="",W102="",X102="",Z102="",AA102="",AE102="",AF102="",AG102&lt;&gt;"Sim, confirmado",AH102=""),"Pendente",IF(AND(Z102&gt;=7,AA102&gt;=6),"Alta",IF(AND(Z102&gt;=5,AA102&gt;=4),"Média","Baixa")))))</f>
        <v/>
      </c>
      <c r="AE102" s="29" t="n"/>
      <c r="AF102" s="29" t="n"/>
      <c r="AG102" s="29" t="n"/>
      <c r="AH102" s="29" t="n"/>
      <c r="AI102" s="30">
        <f>IF(A102="","",IF(AE102="","País a verificar",IF(AE102="Brasil","Brasil","FORA DO BRASIL · "&amp;AE102)))</f>
        <v/>
      </c>
    </row>
    <row r="103" ht="28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7" t="n"/>
      <c r="K103" s="7" t="n"/>
      <c r="L103" s="6" t="n"/>
      <c r="M103" s="6" t="n"/>
      <c r="N103" s="8" t="n"/>
      <c r="O103" s="8" t="n"/>
      <c r="P103" s="7" t="n"/>
      <c r="Q103" s="6" t="n"/>
      <c r="R103" s="6" t="n"/>
      <c r="S103" s="9">
        <f>IF(A103="","",IF(M103="Não contatar","Não contatar",IF(OR(H103="Fechado",H103="Perdido"),"Encerrado",IF(K103="","Sem data",IF(K103&lt;TODAY(),"Atrasado",IF(K103=TODAY(),"Hoje","Agendado")))))))</f>
        <v/>
      </c>
      <c r="T103" s="18" t="n"/>
      <c r="U103" s="18" t="n"/>
      <c r="V103" s="18" t="n"/>
      <c r="W103" s="18" t="n"/>
      <c r="X103" s="19" t="n"/>
      <c r="Y103" s="18" t="n"/>
      <c r="Z103" s="20" t="n"/>
      <c r="AA103" s="20" t="n"/>
      <c r="AB103" s="21" t="n"/>
      <c r="AC103" s="21" t="n"/>
      <c r="AD103" s="22">
        <f>IF(A103="","",IF(OR(Y103="Descartado",M103="Não contatar",T103="Instagram",AG103="Não"),"Descartar",IF(OR(Y103&lt;&gt;"Verificado",U103="",W103="",X103="",Z103="",AA103="",AE103="",AF103="",AG103&lt;&gt;"Sim, confirmado",AH103=""),"Pendente",IF(AND(Z103&gt;=7,AA103&gt;=6),"Alta",IF(AND(Z103&gt;=5,AA103&gt;=4),"Média","Baixa")))))</f>
        <v/>
      </c>
      <c r="AE103" s="29" t="n"/>
      <c r="AF103" s="29" t="n"/>
      <c r="AG103" s="29" t="n"/>
      <c r="AH103" s="29" t="n"/>
      <c r="AI103" s="30">
        <f>IF(A103="","",IF(AE103="","País a verificar",IF(AE103="Brasil","Brasil","FORA DO BRASIL · "&amp;AE103)))</f>
        <v/>
      </c>
    </row>
    <row r="104" ht="28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7" t="n"/>
      <c r="K104" s="7" t="n"/>
      <c r="L104" s="6" t="n"/>
      <c r="M104" s="6" t="n"/>
      <c r="N104" s="8" t="n"/>
      <c r="O104" s="8" t="n"/>
      <c r="P104" s="7" t="n"/>
      <c r="Q104" s="6" t="n"/>
      <c r="R104" s="6" t="n"/>
      <c r="S104" s="9">
        <f>IF(A104="","",IF(M104="Não contatar","Não contatar",IF(OR(H104="Fechado",H104="Perdido"),"Encerrado",IF(K104="","Sem data",IF(K104&lt;TODAY(),"Atrasado",IF(K104=TODAY(),"Hoje","Agendado")))))))</f>
        <v/>
      </c>
      <c r="T104" s="18" t="n"/>
      <c r="U104" s="18" t="n"/>
      <c r="V104" s="18" t="n"/>
      <c r="W104" s="18" t="n"/>
      <c r="X104" s="19" t="n"/>
      <c r="Y104" s="18" t="n"/>
      <c r="Z104" s="20" t="n"/>
      <c r="AA104" s="20" t="n"/>
      <c r="AB104" s="21" t="n"/>
      <c r="AC104" s="21" t="n"/>
      <c r="AD104" s="22">
        <f>IF(A104="","",IF(OR(Y104="Descartado",M104="Não contatar",T104="Instagram",AG104="Não"),"Descartar",IF(OR(Y104&lt;&gt;"Verificado",U104="",W104="",X104="",Z104="",AA104="",AE104="",AF104="",AG104&lt;&gt;"Sim, confirmado",AH104=""),"Pendente",IF(AND(Z104&gt;=7,AA104&gt;=6),"Alta",IF(AND(Z104&gt;=5,AA104&gt;=4),"Média","Baixa")))))</f>
        <v/>
      </c>
      <c r="AE104" s="29" t="n"/>
      <c r="AF104" s="29" t="n"/>
      <c r="AG104" s="29" t="n"/>
      <c r="AH104" s="29" t="n"/>
      <c r="AI104" s="30">
        <f>IF(A104="","",IF(AE104="","País a verificar",IF(AE104="Brasil","Brasil","FORA DO BRASIL · "&amp;AE104)))</f>
        <v/>
      </c>
    </row>
    <row r="105" ht="28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7" t="n"/>
      <c r="K105" s="7" t="n"/>
      <c r="L105" s="6" t="n"/>
      <c r="M105" s="6" t="n"/>
      <c r="N105" s="8" t="n"/>
      <c r="O105" s="8" t="n"/>
      <c r="P105" s="7" t="n"/>
      <c r="Q105" s="6" t="n"/>
      <c r="R105" s="6" t="n"/>
      <c r="S105" s="9">
        <f>IF(A105="","",IF(M105="Não contatar","Não contatar",IF(OR(H105="Fechado",H105="Perdido"),"Encerrado",IF(K105="","Sem data",IF(K105&lt;TODAY(),"Atrasado",IF(K105=TODAY(),"Hoje","Agendado")))))))</f>
        <v/>
      </c>
      <c r="T105" s="18" t="n"/>
      <c r="U105" s="18" t="n"/>
      <c r="V105" s="18" t="n"/>
      <c r="W105" s="18" t="n"/>
      <c r="X105" s="19" t="n"/>
      <c r="Y105" s="18" t="n"/>
      <c r="Z105" s="20" t="n"/>
      <c r="AA105" s="20" t="n"/>
      <c r="AB105" s="21" t="n"/>
      <c r="AC105" s="21" t="n"/>
      <c r="AD105" s="22">
        <f>IF(A105="","",IF(OR(Y105="Descartado",M105="Não contatar",T105="Instagram",AG105="Não"),"Descartar",IF(OR(Y105&lt;&gt;"Verificado",U105="",W105="",X105="",Z105="",AA105="",AE105="",AF105="",AG105&lt;&gt;"Sim, confirmado",AH105=""),"Pendente",IF(AND(Z105&gt;=7,AA105&gt;=6),"Alta",IF(AND(Z105&gt;=5,AA105&gt;=4),"Média","Baixa")))))</f>
        <v/>
      </c>
      <c r="AE105" s="29" t="n"/>
      <c r="AF105" s="29" t="n"/>
      <c r="AG105" s="29" t="n"/>
      <c r="AH105" s="29" t="n"/>
      <c r="AI105" s="30">
        <f>IF(A105="","",IF(AE105="","País a verificar",IF(AE105="Brasil","Brasil","FORA DO BRASIL · "&amp;AE105)))</f>
        <v/>
      </c>
    </row>
    <row r="106" ht="28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7" t="n"/>
      <c r="K106" s="7" t="n"/>
      <c r="L106" s="6" t="n"/>
      <c r="M106" s="6" t="n"/>
      <c r="N106" s="8" t="n"/>
      <c r="O106" s="8" t="n"/>
      <c r="P106" s="7" t="n"/>
      <c r="Q106" s="6" t="n"/>
      <c r="R106" s="6" t="n"/>
      <c r="S106" s="9">
        <f>IF(A106="","",IF(M106="Não contatar","Não contatar",IF(OR(H106="Fechado",H106="Perdido"),"Encerrado",IF(K106="","Sem data",IF(K106&lt;TODAY(),"Atrasado",IF(K106=TODAY(),"Hoje","Agendado")))))))</f>
        <v/>
      </c>
      <c r="T106" s="18" t="n"/>
      <c r="U106" s="18" t="n"/>
      <c r="V106" s="18" t="n"/>
      <c r="W106" s="18" t="n"/>
      <c r="X106" s="19" t="n"/>
      <c r="Y106" s="18" t="n"/>
      <c r="Z106" s="20" t="n"/>
      <c r="AA106" s="20" t="n"/>
      <c r="AB106" s="21" t="n"/>
      <c r="AC106" s="21" t="n"/>
      <c r="AD106" s="22">
        <f>IF(A106="","",IF(OR(Y106="Descartado",M106="Não contatar",T106="Instagram",AG106="Não"),"Descartar",IF(OR(Y106&lt;&gt;"Verificado",U106="",W106="",X106="",Z106="",AA106="",AE106="",AF106="",AG106&lt;&gt;"Sim, confirmado",AH106=""),"Pendente",IF(AND(Z106&gt;=7,AA106&gt;=6),"Alta",IF(AND(Z106&gt;=5,AA106&gt;=4),"Média","Baixa")))))</f>
        <v/>
      </c>
      <c r="AE106" s="29" t="n"/>
      <c r="AF106" s="29" t="n"/>
      <c r="AG106" s="29" t="n"/>
      <c r="AH106" s="29" t="n"/>
      <c r="AI106" s="30">
        <f>IF(A106="","",IF(AE106="","País a verificar",IF(AE106="Brasil","Brasil","FORA DO BRASIL · "&amp;AE106)))</f>
        <v/>
      </c>
    </row>
    <row r="107" ht="28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7" t="n"/>
      <c r="K107" s="7" t="n"/>
      <c r="L107" s="6" t="n"/>
      <c r="M107" s="6" t="n"/>
      <c r="N107" s="8" t="n"/>
      <c r="O107" s="8" t="n"/>
      <c r="P107" s="7" t="n"/>
      <c r="Q107" s="6" t="n"/>
      <c r="R107" s="6" t="n"/>
      <c r="S107" s="9">
        <f>IF(A107="","",IF(M107="Não contatar","Não contatar",IF(OR(H107="Fechado",H107="Perdido"),"Encerrado",IF(K107="","Sem data",IF(K107&lt;TODAY(),"Atrasado",IF(K107=TODAY(),"Hoje","Agendado")))))))</f>
        <v/>
      </c>
      <c r="T107" s="18" t="n"/>
      <c r="U107" s="18" t="n"/>
      <c r="V107" s="18" t="n"/>
      <c r="W107" s="18" t="n"/>
      <c r="X107" s="19" t="n"/>
      <c r="Y107" s="18" t="n"/>
      <c r="Z107" s="20" t="n"/>
      <c r="AA107" s="20" t="n"/>
      <c r="AB107" s="21" t="n"/>
      <c r="AC107" s="21" t="n"/>
      <c r="AD107" s="22">
        <f>IF(A107="","",IF(OR(Y107="Descartado",M107="Não contatar",T107="Instagram",AG107="Não"),"Descartar",IF(OR(Y107&lt;&gt;"Verificado",U107="",W107="",X107="",Z107="",AA107="",AE107="",AF107="",AG107&lt;&gt;"Sim, confirmado",AH107=""),"Pendente",IF(AND(Z107&gt;=7,AA107&gt;=6),"Alta",IF(AND(Z107&gt;=5,AA107&gt;=4),"Média","Baixa")))))</f>
        <v/>
      </c>
      <c r="AE107" s="29" t="n"/>
      <c r="AF107" s="29" t="n"/>
      <c r="AG107" s="29" t="n"/>
      <c r="AH107" s="29" t="n"/>
      <c r="AI107" s="30">
        <f>IF(A107="","",IF(AE107="","País a verificar",IF(AE107="Brasil","Brasil","FORA DO BRASIL · "&amp;AE107)))</f>
        <v/>
      </c>
    </row>
    <row r="108" ht="28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7" t="n"/>
      <c r="K108" s="7" t="n"/>
      <c r="L108" s="6" t="n"/>
      <c r="M108" s="6" t="n"/>
      <c r="N108" s="8" t="n"/>
      <c r="O108" s="8" t="n"/>
      <c r="P108" s="7" t="n"/>
      <c r="Q108" s="6" t="n"/>
      <c r="R108" s="6" t="n"/>
      <c r="S108" s="9">
        <f>IF(A108="","",IF(M108="Não contatar","Não contatar",IF(OR(H108="Fechado",H108="Perdido"),"Encerrado",IF(K108="","Sem data",IF(K108&lt;TODAY(),"Atrasado",IF(K108=TODAY(),"Hoje","Agendado")))))))</f>
        <v/>
      </c>
      <c r="T108" s="18" t="n"/>
      <c r="U108" s="18" t="n"/>
      <c r="V108" s="18" t="n"/>
      <c r="W108" s="18" t="n"/>
      <c r="X108" s="19" t="n"/>
      <c r="Y108" s="18" t="n"/>
      <c r="Z108" s="20" t="n"/>
      <c r="AA108" s="20" t="n"/>
      <c r="AB108" s="21" t="n"/>
      <c r="AC108" s="21" t="n"/>
      <c r="AD108" s="22">
        <f>IF(A108="","",IF(OR(Y108="Descartado",M108="Não contatar",T108="Instagram",AG108="Não"),"Descartar",IF(OR(Y108&lt;&gt;"Verificado",U108="",W108="",X108="",Z108="",AA108="",AE108="",AF108="",AG108&lt;&gt;"Sim, confirmado",AH108=""),"Pendente",IF(AND(Z108&gt;=7,AA108&gt;=6),"Alta",IF(AND(Z108&gt;=5,AA108&gt;=4),"Média","Baixa")))))</f>
        <v/>
      </c>
      <c r="AE108" s="29" t="n"/>
      <c r="AF108" s="29" t="n"/>
      <c r="AG108" s="29" t="n"/>
      <c r="AH108" s="29" t="n"/>
      <c r="AI108" s="30">
        <f>IF(A108="","",IF(AE108="","País a verificar",IF(AE108="Brasil","Brasil","FORA DO BRASIL · "&amp;AE108)))</f>
        <v/>
      </c>
    </row>
    <row r="109" ht="28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7" t="n"/>
      <c r="K109" s="7" t="n"/>
      <c r="L109" s="6" t="n"/>
      <c r="M109" s="6" t="n"/>
      <c r="N109" s="8" t="n"/>
      <c r="O109" s="8" t="n"/>
      <c r="P109" s="7" t="n"/>
      <c r="Q109" s="6" t="n"/>
      <c r="R109" s="6" t="n"/>
      <c r="S109" s="9">
        <f>IF(A109="","",IF(M109="Não contatar","Não contatar",IF(OR(H109="Fechado",H109="Perdido"),"Encerrado",IF(K109="","Sem data",IF(K109&lt;TODAY(),"Atrasado",IF(K109=TODAY(),"Hoje","Agendado")))))))</f>
        <v/>
      </c>
      <c r="T109" s="18" t="n"/>
      <c r="U109" s="18" t="n"/>
      <c r="V109" s="18" t="n"/>
      <c r="W109" s="18" t="n"/>
      <c r="X109" s="19" t="n"/>
      <c r="Y109" s="18" t="n"/>
      <c r="Z109" s="20" t="n"/>
      <c r="AA109" s="20" t="n"/>
      <c r="AB109" s="21" t="n"/>
      <c r="AC109" s="21" t="n"/>
      <c r="AD109" s="22">
        <f>IF(A109="","",IF(OR(Y109="Descartado",M109="Não contatar",T109="Instagram",AG109="Não"),"Descartar",IF(OR(Y109&lt;&gt;"Verificado",U109="",W109="",X109="",Z109="",AA109="",AE109="",AF109="",AG109&lt;&gt;"Sim, confirmado",AH109=""),"Pendente",IF(AND(Z109&gt;=7,AA109&gt;=6),"Alta",IF(AND(Z109&gt;=5,AA109&gt;=4),"Média","Baixa")))))</f>
        <v/>
      </c>
      <c r="AE109" s="29" t="n"/>
      <c r="AF109" s="29" t="n"/>
      <c r="AG109" s="29" t="n"/>
      <c r="AH109" s="29" t="n"/>
      <c r="AI109" s="30">
        <f>IF(A109="","",IF(AE109="","País a verificar",IF(AE109="Brasil","Brasil","FORA DO BRASIL · "&amp;AE109)))</f>
        <v/>
      </c>
    </row>
    <row r="110" ht="28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7" t="n"/>
      <c r="K110" s="7" t="n"/>
      <c r="L110" s="6" t="n"/>
      <c r="M110" s="6" t="n"/>
      <c r="N110" s="8" t="n"/>
      <c r="O110" s="8" t="n"/>
      <c r="P110" s="7" t="n"/>
      <c r="Q110" s="6" t="n"/>
      <c r="R110" s="6" t="n"/>
      <c r="S110" s="9">
        <f>IF(A110="","",IF(M110="Não contatar","Não contatar",IF(OR(H110="Fechado",H110="Perdido"),"Encerrado",IF(K110="","Sem data",IF(K110&lt;TODAY(),"Atrasado",IF(K110=TODAY(),"Hoje","Agendado")))))))</f>
        <v/>
      </c>
      <c r="T110" s="18" t="n"/>
      <c r="U110" s="18" t="n"/>
      <c r="V110" s="18" t="n"/>
      <c r="W110" s="18" t="n"/>
      <c r="X110" s="19" t="n"/>
      <c r="Y110" s="18" t="n"/>
      <c r="Z110" s="20" t="n"/>
      <c r="AA110" s="20" t="n"/>
      <c r="AB110" s="21" t="n"/>
      <c r="AC110" s="21" t="n"/>
      <c r="AD110" s="22">
        <f>IF(A110="","",IF(OR(Y110="Descartado",M110="Não contatar",T110="Instagram",AG110="Não"),"Descartar",IF(OR(Y110&lt;&gt;"Verificado",U110="",W110="",X110="",Z110="",AA110="",AE110="",AF110="",AG110&lt;&gt;"Sim, confirmado",AH110=""),"Pendente",IF(AND(Z110&gt;=7,AA110&gt;=6),"Alta",IF(AND(Z110&gt;=5,AA110&gt;=4),"Média","Baixa")))))</f>
        <v/>
      </c>
      <c r="AE110" s="29" t="n"/>
      <c r="AF110" s="29" t="n"/>
      <c r="AG110" s="29" t="n"/>
      <c r="AH110" s="29" t="n"/>
      <c r="AI110" s="30">
        <f>IF(A110="","",IF(AE110="","País a verificar",IF(AE110="Brasil","Brasil","FORA DO BRASIL · "&amp;AE110)))</f>
        <v/>
      </c>
    </row>
    <row r="111" ht="28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7" t="n"/>
      <c r="K111" s="7" t="n"/>
      <c r="L111" s="6" t="n"/>
      <c r="M111" s="6" t="n"/>
      <c r="N111" s="8" t="n"/>
      <c r="O111" s="8" t="n"/>
      <c r="P111" s="7" t="n"/>
      <c r="Q111" s="6" t="n"/>
      <c r="R111" s="6" t="n"/>
      <c r="S111" s="9">
        <f>IF(A111="","",IF(M111="Não contatar","Não contatar",IF(OR(H111="Fechado",H111="Perdido"),"Encerrado",IF(K111="","Sem data",IF(K111&lt;TODAY(),"Atrasado",IF(K111=TODAY(),"Hoje","Agendado")))))))</f>
        <v/>
      </c>
      <c r="T111" s="18" t="n"/>
      <c r="U111" s="18" t="n"/>
      <c r="V111" s="18" t="n"/>
      <c r="W111" s="18" t="n"/>
      <c r="X111" s="19" t="n"/>
      <c r="Y111" s="18" t="n"/>
      <c r="Z111" s="20" t="n"/>
      <c r="AA111" s="20" t="n"/>
      <c r="AB111" s="21" t="n"/>
      <c r="AC111" s="21" t="n"/>
      <c r="AD111" s="22">
        <f>IF(A111="","",IF(OR(Y111="Descartado",M111="Não contatar",T111="Instagram",AG111="Não"),"Descartar",IF(OR(Y111&lt;&gt;"Verificado",U111="",W111="",X111="",Z111="",AA111="",AE111="",AF111="",AG111&lt;&gt;"Sim, confirmado",AH111=""),"Pendente",IF(AND(Z111&gt;=7,AA111&gt;=6),"Alta",IF(AND(Z111&gt;=5,AA111&gt;=4),"Média","Baixa")))))</f>
        <v/>
      </c>
      <c r="AE111" s="29" t="n"/>
      <c r="AF111" s="29" t="n"/>
      <c r="AG111" s="29" t="n"/>
      <c r="AH111" s="29" t="n"/>
      <c r="AI111" s="30">
        <f>IF(A111="","",IF(AE111="","País a verificar",IF(AE111="Brasil","Brasil","FORA DO BRASIL · "&amp;AE111)))</f>
        <v/>
      </c>
    </row>
    <row r="112" ht="28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7" t="n"/>
      <c r="K112" s="7" t="n"/>
      <c r="L112" s="6" t="n"/>
      <c r="M112" s="6" t="n"/>
      <c r="N112" s="8" t="n"/>
      <c r="O112" s="8" t="n"/>
      <c r="P112" s="7" t="n"/>
      <c r="Q112" s="6" t="n"/>
      <c r="R112" s="6" t="n"/>
      <c r="S112" s="9">
        <f>IF(A112="","",IF(M112="Não contatar","Não contatar",IF(OR(H112="Fechado",H112="Perdido"),"Encerrado",IF(K112="","Sem data",IF(K112&lt;TODAY(),"Atrasado",IF(K112=TODAY(),"Hoje","Agendado")))))))</f>
        <v/>
      </c>
      <c r="T112" s="18" t="n"/>
      <c r="U112" s="18" t="n"/>
      <c r="V112" s="18" t="n"/>
      <c r="W112" s="18" t="n"/>
      <c r="X112" s="19" t="n"/>
      <c r="Y112" s="18" t="n"/>
      <c r="Z112" s="20" t="n"/>
      <c r="AA112" s="20" t="n"/>
      <c r="AB112" s="21" t="n"/>
      <c r="AC112" s="21" t="n"/>
      <c r="AD112" s="22">
        <f>IF(A112="","",IF(OR(Y112="Descartado",M112="Não contatar",T112="Instagram",AG112="Não"),"Descartar",IF(OR(Y112&lt;&gt;"Verificado",U112="",W112="",X112="",Z112="",AA112="",AE112="",AF112="",AG112&lt;&gt;"Sim, confirmado",AH112=""),"Pendente",IF(AND(Z112&gt;=7,AA112&gt;=6),"Alta",IF(AND(Z112&gt;=5,AA112&gt;=4),"Média","Baixa")))))</f>
        <v/>
      </c>
      <c r="AE112" s="29" t="n"/>
      <c r="AF112" s="29" t="n"/>
      <c r="AG112" s="29" t="n"/>
      <c r="AH112" s="29" t="n"/>
      <c r="AI112" s="30">
        <f>IF(A112="","",IF(AE112="","País a verificar",IF(AE112="Brasil","Brasil","FORA DO BRASIL · "&amp;AE112)))</f>
        <v/>
      </c>
    </row>
    <row r="113" ht="28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7" t="n"/>
      <c r="K113" s="7" t="n"/>
      <c r="L113" s="6" t="n"/>
      <c r="M113" s="6" t="n"/>
      <c r="N113" s="8" t="n"/>
      <c r="O113" s="8" t="n"/>
      <c r="P113" s="7" t="n"/>
      <c r="Q113" s="6" t="n"/>
      <c r="R113" s="6" t="n"/>
      <c r="S113" s="9">
        <f>IF(A113="","",IF(M113="Não contatar","Não contatar",IF(OR(H113="Fechado",H113="Perdido"),"Encerrado",IF(K113="","Sem data",IF(K113&lt;TODAY(),"Atrasado",IF(K113=TODAY(),"Hoje","Agendado")))))))</f>
        <v/>
      </c>
      <c r="T113" s="18" t="n"/>
      <c r="U113" s="18" t="n"/>
      <c r="V113" s="18" t="n"/>
      <c r="W113" s="18" t="n"/>
      <c r="X113" s="19" t="n"/>
      <c r="Y113" s="18" t="n"/>
      <c r="Z113" s="20" t="n"/>
      <c r="AA113" s="20" t="n"/>
      <c r="AB113" s="21" t="n"/>
      <c r="AC113" s="21" t="n"/>
      <c r="AD113" s="22">
        <f>IF(A113="","",IF(OR(Y113="Descartado",M113="Não contatar",T113="Instagram",AG113="Não"),"Descartar",IF(OR(Y113&lt;&gt;"Verificado",U113="",W113="",X113="",Z113="",AA113="",AE113="",AF113="",AG113&lt;&gt;"Sim, confirmado",AH113=""),"Pendente",IF(AND(Z113&gt;=7,AA113&gt;=6),"Alta",IF(AND(Z113&gt;=5,AA113&gt;=4),"Média","Baixa")))))</f>
        <v/>
      </c>
      <c r="AE113" s="29" t="n"/>
      <c r="AF113" s="29" t="n"/>
      <c r="AG113" s="29" t="n"/>
      <c r="AH113" s="29" t="n"/>
      <c r="AI113" s="30">
        <f>IF(A113="","",IF(AE113="","País a verificar",IF(AE113="Brasil","Brasil","FORA DO BRASIL · "&amp;AE113)))</f>
        <v/>
      </c>
    </row>
    <row r="114" ht="28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7" t="n"/>
      <c r="K114" s="7" t="n"/>
      <c r="L114" s="6" t="n"/>
      <c r="M114" s="6" t="n"/>
      <c r="N114" s="8" t="n"/>
      <c r="O114" s="8" t="n"/>
      <c r="P114" s="7" t="n"/>
      <c r="Q114" s="6" t="n"/>
      <c r="R114" s="6" t="n"/>
      <c r="S114" s="9">
        <f>IF(A114="","",IF(M114="Não contatar","Não contatar",IF(OR(H114="Fechado",H114="Perdido"),"Encerrado",IF(K114="","Sem data",IF(K114&lt;TODAY(),"Atrasado",IF(K114=TODAY(),"Hoje","Agendado")))))))</f>
        <v/>
      </c>
      <c r="T114" s="18" t="n"/>
      <c r="U114" s="18" t="n"/>
      <c r="V114" s="18" t="n"/>
      <c r="W114" s="18" t="n"/>
      <c r="X114" s="19" t="n"/>
      <c r="Y114" s="18" t="n"/>
      <c r="Z114" s="20" t="n"/>
      <c r="AA114" s="20" t="n"/>
      <c r="AB114" s="21" t="n"/>
      <c r="AC114" s="21" t="n"/>
      <c r="AD114" s="22">
        <f>IF(A114="","",IF(OR(Y114="Descartado",M114="Não contatar",T114="Instagram",AG114="Não"),"Descartar",IF(OR(Y114&lt;&gt;"Verificado",U114="",W114="",X114="",Z114="",AA114="",AE114="",AF114="",AG114&lt;&gt;"Sim, confirmado",AH114=""),"Pendente",IF(AND(Z114&gt;=7,AA114&gt;=6),"Alta",IF(AND(Z114&gt;=5,AA114&gt;=4),"Média","Baixa")))))</f>
        <v/>
      </c>
      <c r="AE114" s="29" t="n"/>
      <c r="AF114" s="29" t="n"/>
      <c r="AG114" s="29" t="n"/>
      <c r="AH114" s="29" t="n"/>
      <c r="AI114" s="30">
        <f>IF(A114="","",IF(AE114="","País a verificar",IF(AE114="Brasil","Brasil","FORA DO BRASIL · "&amp;AE114)))</f>
        <v/>
      </c>
    </row>
    <row r="115" ht="28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7" t="n"/>
      <c r="K115" s="7" t="n"/>
      <c r="L115" s="6" t="n"/>
      <c r="M115" s="6" t="n"/>
      <c r="N115" s="8" t="n"/>
      <c r="O115" s="8" t="n"/>
      <c r="P115" s="7" t="n"/>
      <c r="Q115" s="6" t="n"/>
      <c r="R115" s="6" t="n"/>
      <c r="S115" s="9">
        <f>IF(A115="","",IF(M115="Não contatar","Não contatar",IF(OR(H115="Fechado",H115="Perdido"),"Encerrado",IF(K115="","Sem data",IF(K115&lt;TODAY(),"Atrasado",IF(K115=TODAY(),"Hoje","Agendado")))))))</f>
        <v/>
      </c>
      <c r="T115" s="18" t="n"/>
      <c r="U115" s="18" t="n"/>
      <c r="V115" s="18" t="n"/>
      <c r="W115" s="18" t="n"/>
      <c r="X115" s="19" t="n"/>
      <c r="Y115" s="18" t="n"/>
      <c r="Z115" s="20" t="n"/>
      <c r="AA115" s="20" t="n"/>
      <c r="AB115" s="21" t="n"/>
      <c r="AC115" s="21" t="n"/>
      <c r="AD115" s="22">
        <f>IF(A115="","",IF(OR(Y115="Descartado",M115="Não contatar",T115="Instagram",AG115="Não"),"Descartar",IF(OR(Y115&lt;&gt;"Verificado",U115="",W115="",X115="",Z115="",AA115="",AE115="",AF115="",AG115&lt;&gt;"Sim, confirmado",AH115=""),"Pendente",IF(AND(Z115&gt;=7,AA115&gt;=6),"Alta",IF(AND(Z115&gt;=5,AA115&gt;=4),"Média","Baixa")))))</f>
        <v/>
      </c>
      <c r="AE115" s="29" t="n"/>
      <c r="AF115" s="29" t="n"/>
      <c r="AG115" s="29" t="n"/>
      <c r="AH115" s="29" t="n"/>
      <c r="AI115" s="30">
        <f>IF(A115="","",IF(AE115="","País a verificar",IF(AE115="Brasil","Brasil","FORA DO BRASIL · "&amp;AE115)))</f>
        <v/>
      </c>
    </row>
    <row r="116" ht="28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7" t="n"/>
      <c r="K116" s="7" t="n"/>
      <c r="L116" s="6" t="n"/>
      <c r="M116" s="6" t="n"/>
      <c r="N116" s="8" t="n"/>
      <c r="O116" s="8" t="n"/>
      <c r="P116" s="7" t="n"/>
      <c r="Q116" s="6" t="n"/>
      <c r="R116" s="6" t="n"/>
      <c r="S116" s="9">
        <f>IF(A116="","",IF(M116="Não contatar","Não contatar",IF(OR(H116="Fechado",H116="Perdido"),"Encerrado",IF(K116="","Sem data",IF(K116&lt;TODAY(),"Atrasado",IF(K116=TODAY(),"Hoje","Agendado")))))))</f>
        <v/>
      </c>
      <c r="T116" s="18" t="n"/>
      <c r="U116" s="18" t="n"/>
      <c r="V116" s="18" t="n"/>
      <c r="W116" s="18" t="n"/>
      <c r="X116" s="19" t="n"/>
      <c r="Y116" s="18" t="n"/>
      <c r="Z116" s="20" t="n"/>
      <c r="AA116" s="20" t="n"/>
      <c r="AB116" s="21" t="n"/>
      <c r="AC116" s="21" t="n"/>
      <c r="AD116" s="22">
        <f>IF(A116="","",IF(OR(Y116="Descartado",M116="Não contatar",T116="Instagram",AG116="Não"),"Descartar",IF(OR(Y116&lt;&gt;"Verificado",U116="",W116="",X116="",Z116="",AA116="",AE116="",AF116="",AG116&lt;&gt;"Sim, confirmado",AH116=""),"Pendente",IF(AND(Z116&gt;=7,AA116&gt;=6),"Alta",IF(AND(Z116&gt;=5,AA116&gt;=4),"Média","Baixa")))))</f>
        <v/>
      </c>
      <c r="AE116" s="29" t="n"/>
      <c r="AF116" s="29" t="n"/>
      <c r="AG116" s="29" t="n"/>
      <c r="AH116" s="29" t="n"/>
      <c r="AI116" s="30">
        <f>IF(A116="","",IF(AE116="","País a verificar",IF(AE116="Brasil","Brasil","FORA DO BRASIL · "&amp;AE116)))</f>
        <v/>
      </c>
    </row>
    <row r="117" ht="28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7" t="n"/>
      <c r="K117" s="7" t="n"/>
      <c r="L117" s="6" t="n"/>
      <c r="M117" s="6" t="n"/>
      <c r="N117" s="8" t="n"/>
      <c r="O117" s="8" t="n"/>
      <c r="P117" s="7" t="n"/>
      <c r="Q117" s="6" t="n"/>
      <c r="R117" s="6" t="n"/>
      <c r="S117" s="9">
        <f>IF(A117="","",IF(M117="Não contatar","Não contatar",IF(OR(H117="Fechado",H117="Perdido"),"Encerrado",IF(K117="","Sem data",IF(K117&lt;TODAY(),"Atrasado",IF(K117=TODAY(),"Hoje","Agendado")))))))</f>
        <v/>
      </c>
      <c r="T117" s="18" t="n"/>
      <c r="U117" s="18" t="n"/>
      <c r="V117" s="18" t="n"/>
      <c r="W117" s="18" t="n"/>
      <c r="X117" s="19" t="n"/>
      <c r="Y117" s="18" t="n"/>
      <c r="Z117" s="20" t="n"/>
      <c r="AA117" s="20" t="n"/>
      <c r="AB117" s="21" t="n"/>
      <c r="AC117" s="21" t="n"/>
      <c r="AD117" s="22">
        <f>IF(A117="","",IF(OR(Y117="Descartado",M117="Não contatar",T117="Instagram",AG117="Não"),"Descartar",IF(OR(Y117&lt;&gt;"Verificado",U117="",W117="",X117="",Z117="",AA117="",AE117="",AF117="",AG117&lt;&gt;"Sim, confirmado",AH117=""),"Pendente",IF(AND(Z117&gt;=7,AA117&gt;=6),"Alta",IF(AND(Z117&gt;=5,AA117&gt;=4),"Média","Baixa")))))</f>
        <v/>
      </c>
      <c r="AE117" s="29" t="n"/>
      <c r="AF117" s="29" t="n"/>
      <c r="AG117" s="29" t="n"/>
      <c r="AH117" s="29" t="n"/>
      <c r="AI117" s="30">
        <f>IF(A117="","",IF(AE117="","País a verificar",IF(AE117="Brasil","Brasil","FORA DO BRASIL · "&amp;AE117)))</f>
        <v/>
      </c>
    </row>
    <row r="118" ht="28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7" t="n"/>
      <c r="K118" s="7" t="n"/>
      <c r="L118" s="6" t="n"/>
      <c r="M118" s="6" t="n"/>
      <c r="N118" s="8" t="n"/>
      <c r="O118" s="8" t="n"/>
      <c r="P118" s="7" t="n"/>
      <c r="Q118" s="6" t="n"/>
      <c r="R118" s="6" t="n"/>
      <c r="S118" s="9">
        <f>IF(A118="","",IF(M118="Não contatar","Não contatar",IF(OR(H118="Fechado",H118="Perdido"),"Encerrado",IF(K118="","Sem data",IF(K118&lt;TODAY(),"Atrasado",IF(K118=TODAY(),"Hoje","Agendado")))))))</f>
        <v/>
      </c>
      <c r="T118" s="18" t="n"/>
      <c r="U118" s="18" t="n"/>
      <c r="V118" s="18" t="n"/>
      <c r="W118" s="18" t="n"/>
      <c r="X118" s="19" t="n"/>
      <c r="Y118" s="18" t="n"/>
      <c r="Z118" s="20" t="n"/>
      <c r="AA118" s="20" t="n"/>
      <c r="AB118" s="21" t="n"/>
      <c r="AC118" s="21" t="n"/>
      <c r="AD118" s="22">
        <f>IF(A118="","",IF(OR(Y118="Descartado",M118="Não contatar",T118="Instagram",AG118="Não"),"Descartar",IF(OR(Y118&lt;&gt;"Verificado",U118="",W118="",X118="",Z118="",AA118="",AE118="",AF118="",AG118&lt;&gt;"Sim, confirmado",AH118=""),"Pendente",IF(AND(Z118&gt;=7,AA118&gt;=6),"Alta",IF(AND(Z118&gt;=5,AA118&gt;=4),"Média","Baixa")))))</f>
        <v/>
      </c>
      <c r="AE118" s="29" t="n"/>
      <c r="AF118" s="29" t="n"/>
      <c r="AG118" s="29" t="n"/>
      <c r="AH118" s="29" t="n"/>
      <c r="AI118" s="30">
        <f>IF(A118="","",IF(AE118="","País a verificar",IF(AE118="Brasil","Brasil","FORA DO BRASIL · "&amp;AE118)))</f>
        <v/>
      </c>
    </row>
    <row r="119" ht="28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7" t="n"/>
      <c r="K119" s="7" t="n"/>
      <c r="L119" s="6" t="n"/>
      <c r="M119" s="6" t="n"/>
      <c r="N119" s="8" t="n"/>
      <c r="O119" s="8" t="n"/>
      <c r="P119" s="7" t="n"/>
      <c r="Q119" s="6" t="n"/>
      <c r="R119" s="6" t="n"/>
      <c r="S119" s="9">
        <f>IF(A119="","",IF(M119="Não contatar","Não contatar",IF(OR(H119="Fechado",H119="Perdido"),"Encerrado",IF(K119="","Sem data",IF(K119&lt;TODAY(),"Atrasado",IF(K119=TODAY(),"Hoje","Agendado")))))))</f>
        <v/>
      </c>
      <c r="T119" s="18" t="n"/>
      <c r="U119" s="18" t="n"/>
      <c r="V119" s="18" t="n"/>
      <c r="W119" s="18" t="n"/>
      <c r="X119" s="19" t="n"/>
      <c r="Y119" s="18" t="n"/>
      <c r="Z119" s="20" t="n"/>
      <c r="AA119" s="20" t="n"/>
      <c r="AB119" s="21" t="n"/>
      <c r="AC119" s="21" t="n"/>
      <c r="AD119" s="22">
        <f>IF(A119="","",IF(OR(Y119="Descartado",M119="Não contatar",T119="Instagram",AG119="Não"),"Descartar",IF(OR(Y119&lt;&gt;"Verificado",U119="",W119="",X119="",Z119="",AA119="",AE119="",AF119="",AG119&lt;&gt;"Sim, confirmado",AH119=""),"Pendente",IF(AND(Z119&gt;=7,AA119&gt;=6),"Alta",IF(AND(Z119&gt;=5,AA119&gt;=4),"Média","Baixa")))))</f>
        <v/>
      </c>
      <c r="AE119" s="29" t="n"/>
      <c r="AF119" s="29" t="n"/>
      <c r="AG119" s="29" t="n"/>
      <c r="AH119" s="29" t="n"/>
      <c r="AI119" s="30">
        <f>IF(A119="","",IF(AE119="","País a verificar",IF(AE119="Brasil","Brasil","FORA DO BRASIL · "&amp;AE119)))</f>
        <v/>
      </c>
    </row>
    <row r="120" ht="28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7" t="n"/>
      <c r="K120" s="7" t="n"/>
      <c r="L120" s="6" t="n"/>
      <c r="M120" s="6" t="n"/>
      <c r="N120" s="8" t="n"/>
      <c r="O120" s="8" t="n"/>
      <c r="P120" s="7" t="n"/>
      <c r="Q120" s="6" t="n"/>
      <c r="R120" s="6" t="n"/>
      <c r="S120" s="9">
        <f>IF(A120="","",IF(M120="Não contatar","Não contatar",IF(OR(H120="Fechado",H120="Perdido"),"Encerrado",IF(K120="","Sem data",IF(K120&lt;TODAY(),"Atrasado",IF(K120=TODAY(),"Hoje","Agendado")))))))</f>
        <v/>
      </c>
      <c r="T120" s="18" t="n"/>
      <c r="U120" s="18" t="n"/>
      <c r="V120" s="18" t="n"/>
      <c r="W120" s="18" t="n"/>
      <c r="X120" s="19" t="n"/>
      <c r="Y120" s="18" t="n"/>
      <c r="Z120" s="20" t="n"/>
      <c r="AA120" s="20" t="n"/>
      <c r="AB120" s="21" t="n"/>
      <c r="AC120" s="21" t="n"/>
      <c r="AD120" s="22">
        <f>IF(A120="","",IF(OR(Y120="Descartado",M120="Não contatar",T120="Instagram",AG120="Não"),"Descartar",IF(OR(Y120&lt;&gt;"Verificado",U120="",W120="",X120="",Z120="",AA120="",AE120="",AF120="",AG120&lt;&gt;"Sim, confirmado",AH120=""),"Pendente",IF(AND(Z120&gt;=7,AA120&gt;=6),"Alta",IF(AND(Z120&gt;=5,AA120&gt;=4),"Média","Baixa")))))</f>
        <v/>
      </c>
      <c r="AE120" s="29" t="n"/>
      <c r="AF120" s="29" t="n"/>
      <c r="AG120" s="29" t="n"/>
      <c r="AH120" s="29" t="n"/>
      <c r="AI120" s="30">
        <f>IF(A120="","",IF(AE120="","País a verificar",IF(AE120="Brasil","Brasil","FORA DO BRASIL · "&amp;AE120)))</f>
        <v/>
      </c>
    </row>
    <row r="121" ht="28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7" t="n"/>
      <c r="K121" s="7" t="n"/>
      <c r="L121" s="6" t="n"/>
      <c r="M121" s="6" t="n"/>
      <c r="N121" s="8" t="n"/>
      <c r="O121" s="8" t="n"/>
      <c r="P121" s="7" t="n"/>
      <c r="Q121" s="6" t="n"/>
      <c r="R121" s="6" t="n"/>
      <c r="S121" s="9">
        <f>IF(A121="","",IF(M121="Não contatar","Não contatar",IF(OR(H121="Fechado",H121="Perdido"),"Encerrado",IF(K121="","Sem data",IF(K121&lt;TODAY(),"Atrasado",IF(K121=TODAY(),"Hoje","Agendado")))))))</f>
        <v/>
      </c>
      <c r="T121" s="18" t="n"/>
      <c r="U121" s="18" t="n"/>
      <c r="V121" s="18" t="n"/>
      <c r="W121" s="18" t="n"/>
      <c r="X121" s="19" t="n"/>
      <c r="Y121" s="18" t="n"/>
      <c r="Z121" s="20" t="n"/>
      <c r="AA121" s="20" t="n"/>
      <c r="AB121" s="21" t="n"/>
      <c r="AC121" s="21" t="n"/>
      <c r="AD121" s="22">
        <f>IF(A121="","",IF(OR(Y121="Descartado",M121="Não contatar",T121="Instagram",AG121="Não"),"Descartar",IF(OR(Y121&lt;&gt;"Verificado",U121="",W121="",X121="",Z121="",AA121="",AE121="",AF121="",AG121&lt;&gt;"Sim, confirmado",AH121=""),"Pendente",IF(AND(Z121&gt;=7,AA121&gt;=6),"Alta",IF(AND(Z121&gt;=5,AA121&gt;=4),"Média","Baixa")))))</f>
        <v/>
      </c>
      <c r="AE121" s="29" t="n"/>
      <c r="AF121" s="29" t="n"/>
      <c r="AG121" s="29" t="n"/>
      <c r="AH121" s="29" t="n"/>
      <c r="AI121" s="30">
        <f>IF(A121="","",IF(AE121="","País a verificar",IF(AE121="Brasil","Brasil","FORA DO BRASIL · "&amp;AE121)))</f>
        <v/>
      </c>
    </row>
    <row r="122" ht="28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7" t="n"/>
      <c r="K122" s="7" t="n"/>
      <c r="L122" s="6" t="n"/>
      <c r="M122" s="6" t="n"/>
      <c r="N122" s="8" t="n"/>
      <c r="O122" s="8" t="n"/>
      <c r="P122" s="7" t="n"/>
      <c r="Q122" s="6" t="n"/>
      <c r="R122" s="6" t="n"/>
      <c r="S122" s="9">
        <f>IF(A122="","",IF(M122="Não contatar","Não contatar",IF(OR(H122="Fechado",H122="Perdido"),"Encerrado",IF(K122="","Sem data",IF(K122&lt;TODAY(),"Atrasado",IF(K122=TODAY(),"Hoje","Agendado")))))))</f>
        <v/>
      </c>
      <c r="T122" s="18" t="n"/>
      <c r="U122" s="18" t="n"/>
      <c r="V122" s="18" t="n"/>
      <c r="W122" s="18" t="n"/>
      <c r="X122" s="19" t="n"/>
      <c r="Y122" s="18" t="n"/>
      <c r="Z122" s="20" t="n"/>
      <c r="AA122" s="20" t="n"/>
      <c r="AB122" s="21" t="n"/>
      <c r="AC122" s="21" t="n"/>
      <c r="AD122" s="22">
        <f>IF(A122="","",IF(OR(Y122="Descartado",M122="Não contatar",T122="Instagram",AG122="Não"),"Descartar",IF(OR(Y122&lt;&gt;"Verificado",U122="",W122="",X122="",Z122="",AA122="",AE122="",AF122="",AG122&lt;&gt;"Sim, confirmado",AH122=""),"Pendente",IF(AND(Z122&gt;=7,AA122&gt;=6),"Alta",IF(AND(Z122&gt;=5,AA122&gt;=4),"Média","Baixa")))))</f>
        <v/>
      </c>
      <c r="AE122" s="29" t="n"/>
      <c r="AF122" s="29" t="n"/>
      <c r="AG122" s="29" t="n"/>
      <c r="AH122" s="29" t="n"/>
      <c r="AI122" s="30">
        <f>IF(A122="","",IF(AE122="","País a verificar",IF(AE122="Brasil","Brasil","FORA DO BRASIL · "&amp;AE122)))</f>
        <v/>
      </c>
    </row>
    <row r="123" ht="28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7" t="n"/>
      <c r="K123" s="7" t="n"/>
      <c r="L123" s="6" t="n"/>
      <c r="M123" s="6" t="n"/>
      <c r="N123" s="8" t="n"/>
      <c r="O123" s="8" t="n"/>
      <c r="P123" s="7" t="n"/>
      <c r="Q123" s="6" t="n"/>
      <c r="R123" s="6" t="n"/>
      <c r="S123" s="9">
        <f>IF(A123="","",IF(M123="Não contatar","Não contatar",IF(OR(H123="Fechado",H123="Perdido"),"Encerrado",IF(K123="","Sem data",IF(K123&lt;TODAY(),"Atrasado",IF(K123=TODAY(),"Hoje","Agendado")))))))</f>
        <v/>
      </c>
      <c r="T123" s="18" t="n"/>
      <c r="U123" s="18" t="n"/>
      <c r="V123" s="18" t="n"/>
      <c r="W123" s="18" t="n"/>
      <c r="X123" s="19" t="n"/>
      <c r="Y123" s="18" t="n"/>
      <c r="Z123" s="20" t="n"/>
      <c r="AA123" s="20" t="n"/>
      <c r="AB123" s="21" t="n"/>
      <c r="AC123" s="21" t="n"/>
      <c r="AD123" s="22">
        <f>IF(A123="","",IF(OR(Y123="Descartado",M123="Não contatar",T123="Instagram",AG123="Não"),"Descartar",IF(OR(Y123&lt;&gt;"Verificado",U123="",W123="",X123="",Z123="",AA123="",AE123="",AF123="",AG123&lt;&gt;"Sim, confirmado",AH123=""),"Pendente",IF(AND(Z123&gt;=7,AA123&gt;=6),"Alta",IF(AND(Z123&gt;=5,AA123&gt;=4),"Média","Baixa")))))</f>
        <v/>
      </c>
      <c r="AE123" s="29" t="n"/>
      <c r="AF123" s="29" t="n"/>
      <c r="AG123" s="29" t="n"/>
      <c r="AH123" s="29" t="n"/>
      <c r="AI123" s="30">
        <f>IF(A123="","",IF(AE123="","País a verificar",IF(AE123="Brasil","Brasil","FORA DO BRASIL · "&amp;AE123)))</f>
        <v/>
      </c>
    </row>
    <row r="124" ht="28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7" t="n"/>
      <c r="K124" s="7" t="n"/>
      <c r="L124" s="6" t="n"/>
      <c r="M124" s="6" t="n"/>
      <c r="N124" s="8" t="n"/>
      <c r="O124" s="8" t="n"/>
      <c r="P124" s="7" t="n"/>
      <c r="Q124" s="6" t="n"/>
      <c r="R124" s="6" t="n"/>
      <c r="S124" s="9">
        <f>IF(A124="","",IF(M124="Não contatar","Não contatar",IF(OR(H124="Fechado",H124="Perdido"),"Encerrado",IF(K124="","Sem data",IF(K124&lt;TODAY(),"Atrasado",IF(K124=TODAY(),"Hoje","Agendado")))))))</f>
        <v/>
      </c>
      <c r="T124" s="18" t="n"/>
      <c r="U124" s="18" t="n"/>
      <c r="V124" s="18" t="n"/>
      <c r="W124" s="18" t="n"/>
      <c r="X124" s="19" t="n"/>
      <c r="Y124" s="18" t="n"/>
      <c r="Z124" s="20" t="n"/>
      <c r="AA124" s="20" t="n"/>
      <c r="AB124" s="21" t="n"/>
      <c r="AC124" s="21" t="n"/>
      <c r="AD124" s="22">
        <f>IF(A124="","",IF(OR(Y124="Descartado",M124="Não contatar",T124="Instagram",AG124="Não"),"Descartar",IF(OR(Y124&lt;&gt;"Verificado",U124="",W124="",X124="",Z124="",AA124="",AE124="",AF124="",AG124&lt;&gt;"Sim, confirmado",AH124=""),"Pendente",IF(AND(Z124&gt;=7,AA124&gt;=6),"Alta",IF(AND(Z124&gt;=5,AA124&gt;=4),"Média","Baixa")))))</f>
        <v/>
      </c>
      <c r="AE124" s="29" t="n"/>
      <c r="AF124" s="29" t="n"/>
      <c r="AG124" s="29" t="n"/>
      <c r="AH124" s="29" t="n"/>
      <c r="AI124" s="30">
        <f>IF(A124="","",IF(AE124="","País a verificar",IF(AE124="Brasil","Brasil","FORA DO BRASIL · "&amp;AE124)))</f>
        <v/>
      </c>
    </row>
    <row r="125" ht="28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7" t="n"/>
      <c r="K125" s="7" t="n"/>
      <c r="L125" s="6" t="n"/>
      <c r="M125" s="6" t="n"/>
      <c r="N125" s="8" t="n"/>
      <c r="O125" s="8" t="n"/>
      <c r="P125" s="7" t="n"/>
      <c r="Q125" s="6" t="n"/>
      <c r="R125" s="6" t="n"/>
      <c r="S125" s="9">
        <f>IF(A125="","",IF(M125="Não contatar","Não contatar",IF(OR(H125="Fechado",H125="Perdido"),"Encerrado",IF(K125="","Sem data",IF(K125&lt;TODAY(),"Atrasado",IF(K125=TODAY(),"Hoje","Agendado")))))))</f>
        <v/>
      </c>
      <c r="T125" s="18" t="n"/>
      <c r="U125" s="18" t="n"/>
      <c r="V125" s="18" t="n"/>
      <c r="W125" s="18" t="n"/>
      <c r="X125" s="19" t="n"/>
      <c r="Y125" s="18" t="n"/>
      <c r="Z125" s="20" t="n"/>
      <c r="AA125" s="20" t="n"/>
      <c r="AB125" s="21" t="n"/>
      <c r="AC125" s="21" t="n"/>
      <c r="AD125" s="22">
        <f>IF(A125="","",IF(OR(Y125="Descartado",M125="Não contatar",T125="Instagram",AG125="Não"),"Descartar",IF(OR(Y125&lt;&gt;"Verificado",U125="",W125="",X125="",Z125="",AA125="",AE125="",AF125="",AG125&lt;&gt;"Sim, confirmado",AH125=""),"Pendente",IF(AND(Z125&gt;=7,AA125&gt;=6),"Alta",IF(AND(Z125&gt;=5,AA125&gt;=4),"Média","Baixa")))))</f>
        <v/>
      </c>
      <c r="AE125" s="29" t="n"/>
      <c r="AF125" s="29" t="n"/>
      <c r="AG125" s="29" t="n"/>
      <c r="AH125" s="29" t="n"/>
      <c r="AI125" s="30">
        <f>IF(A125="","",IF(AE125="","País a verificar",IF(AE125="Brasil","Brasil","FORA DO BRASIL · "&amp;AE125)))</f>
        <v/>
      </c>
    </row>
    <row r="126" ht="28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7" t="n"/>
      <c r="K126" s="7" t="n"/>
      <c r="L126" s="6" t="n"/>
      <c r="M126" s="6" t="n"/>
      <c r="N126" s="8" t="n"/>
      <c r="O126" s="8" t="n"/>
      <c r="P126" s="7" t="n"/>
      <c r="Q126" s="6" t="n"/>
      <c r="R126" s="6" t="n"/>
      <c r="S126" s="9">
        <f>IF(A126="","",IF(M126="Não contatar","Não contatar",IF(OR(H126="Fechado",H126="Perdido"),"Encerrado",IF(K126="","Sem data",IF(K126&lt;TODAY(),"Atrasado",IF(K126=TODAY(),"Hoje","Agendado")))))))</f>
        <v/>
      </c>
      <c r="T126" s="18" t="n"/>
      <c r="U126" s="18" t="n"/>
      <c r="V126" s="18" t="n"/>
      <c r="W126" s="18" t="n"/>
      <c r="X126" s="19" t="n"/>
      <c r="Y126" s="18" t="n"/>
      <c r="Z126" s="20" t="n"/>
      <c r="AA126" s="20" t="n"/>
      <c r="AB126" s="21" t="n"/>
      <c r="AC126" s="21" t="n"/>
      <c r="AD126" s="22">
        <f>IF(A126="","",IF(OR(Y126="Descartado",M126="Não contatar",T126="Instagram",AG126="Não"),"Descartar",IF(OR(Y126&lt;&gt;"Verificado",U126="",W126="",X126="",Z126="",AA126="",AE126="",AF126="",AG126&lt;&gt;"Sim, confirmado",AH126=""),"Pendente",IF(AND(Z126&gt;=7,AA126&gt;=6),"Alta",IF(AND(Z126&gt;=5,AA126&gt;=4),"Média","Baixa")))))</f>
        <v/>
      </c>
      <c r="AE126" s="29" t="n"/>
      <c r="AF126" s="29" t="n"/>
      <c r="AG126" s="29" t="n"/>
      <c r="AH126" s="29" t="n"/>
      <c r="AI126" s="30">
        <f>IF(A126="","",IF(AE126="","País a verificar",IF(AE126="Brasil","Brasil","FORA DO BRASIL · "&amp;AE126)))</f>
        <v/>
      </c>
    </row>
    <row r="127" ht="28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7" t="n"/>
      <c r="K127" s="7" t="n"/>
      <c r="L127" s="6" t="n"/>
      <c r="M127" s="6" t="n"/>
      <c r="N127" s="8" t="n"/>
      <c r="O127" s="8" t="n"/>
      <c r="P127" s="7" t="n"/>
      <c r="Q127" s="6" t="n"/>
      <c r="R127" s="6" t="n"/>
      <c r="S127" s="9">
        <f>IF(A127="","",IF(M127="Não contatar","Não contatar",IF(OR(H127="Fechado",H127="Perdido"),"Encerrado",IF(K127="","Sem data",IF(K127&lt;TODAY(),"Atrasado",IF(K127=TODAY(),"Hoje","Agendado")))))))</f>
        <v/>
      </c>
      <c r="T127" s="18" t="n"/>
      <c r="U127" s="18" t="n"/>
      <c r="V127" s="18" t="n"/>
      <c r="W127" s="18" t="n"/>
      <c r="X127" s="19" t="n"/>
      <c r="Y127" s="18" t="n"/>
      <c r="Z127" s="20" t="n"/>
      <c r="AA127" s="20" t="n"/>
      <c r="AB127" s="21" t="n"/>
      <c r="AC127" s="21" t="n"/>
      <c r="AD127" s="22">
        <f>IF(A127="","",IF(OR(Y127="Descartado",M127="Não contatar",T127="Instagram",AG127="Não"),"Descartar",IF(OR(Y127&lt;&gt;"Verificado",U127="",W127="",X127="",Z127="",AA127="",AE127="",AF127="",AG127&lt;&gt;"Sim, confirmado",AH127=""),"Pendente",IF(AND(Z127&gt;=7,AA127&gt;=6),"Alta",IF(AND(Z127&gt;=5,AA127&gt;=4),"Média","Baixa")))))</f>
        <v/>
      </c>
      <c r="AE127" s="29" t="n"/>
      <c r="AF127" s="29" t="n"/>
      <c r="AG127" s="29" t="n"/>
      <c r="AH127" s="29" t="n"/>
      <c r="AI127" s="30">
        <f>IF(A127="","",IF(AE127="","País a verificar",IF(AE127="Brasil","Brasil","FORA DO BRASIL · "&amp;AE127)))</f>
        <v/>
      </c>
    </row>
    <row r="128" ht="28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7" t="n"/>
      <c r="K128" s="7" t="n"/>
      <c r="L128" s="6" t="n"/>
      <c r="M128" s="6" t="n"/>
      <c r="N128" s="8" t="n"/>
      <c r="O128" s="8" t="n"/>
      <c r="P128" s="7" t="n"/>
      <c r="Q128" s="6" t="n"/>
      <c r="R128" s="6" t="n"/>
      <c r="S128" s="9">
        <f>IF(A128="","",IF(M128="Não contatar","Não contatar",IF(OR(H128="Fechado",H128="Perdido"),"Encerrado",IF(K128="","Sem data",IF(K128&lt;TODAY(),"Atrasado",IF(K128=TODAY(),"Hoje","Agendado")))))))</f>
        <v/>
      </c>
      <c r="T128" s="18" t="n"/>
      <c r="U128" s="18" t="n"/>
      <c r="V128" s="18" t="n"/>
      <c r="W128" s="18" t="n"/>
      <c r="X128" s="19" t="n"/>
      <c r="Y128" s="18" t="n"/>
      <c r="Z128" s="20" t="n"/>
      <c r="AA128" s="20" t="n"/>
      <c r="AB128" s="21" t="n"/>
      <c r="AC128" s="21" t="n"/>
      <c r="AD128" s="22">
        <f>IF(A128="","",IF(OR(Y128="Descartado",M128="Não contatar",T128="Instagram",AG128="Não"),"Descartar",IF(OR(Y128&lt;&gt;"Verificado",U128="",W128="",X128="",Z128="",AA128="",AE128="",AF128="",AG128&lt;&gt;"Sim, confirmado",AH128=""),"Pendente",IF(AND(Z128&gt;=7,AA128&gt;=6),"Alta",IF(AND(Z128&gt;=5,AA128&gt;=4),"Média","Baixa")))))</f>
        <v/>
      </c>
      <c r="AE128" s="29" t="n"/>
      <c r="AF128" s="29" t="n"/>
      <c r="AG128" s="29" t="n"/>
      <c r="AH128" s="29" t="n"/>
      <c r="AI128" s="30">
        <f>IF(A128="","",IF(AE128="","País a verificar",IF(AE128="Brasil","Brasil","FORA DO BRASIL · "&amp;AE128)))</f>
        <v/>
      </c>
    </row>
    <row r="129" ht="28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7" t="n"/>
      <c r="K129" s="7" t="n"/>
      <c r="L129" s="6" t="n"/>
      <c r="M129" s="6" t="n"/>
      <c r="N129" s="8" t="n"/>
      <c r="O129" s="8" t="n"/>
      <c r="P129" s="7" t="n"/>
      <c r="Q129" s="6" t="n"/>
      <c r="R129" s="6" t="n"/>
      <c r="S129" s="9">
        <f>IF(A129="","",IF(M129="Não contatar","Não contatar",IF(OR(H129="Fechado",H129="Perdido"),"Encerrado",IF(K129="","Sem data",IF(K129&lt;TODAY(),"Atrasado",IF(K129=TODAY(),"Hoje","Agendado")))))))</f>
        <v/>
      </c>
      <c r="T129" s="18" t="n"/>
      <c r="U129" s="18" t="n"/>
      <c r="V129" s="18" t="n"/>
      <c r="W129" s="18" t="n"/>
      <c r="X129" s="19" t="n"/>
      <c r="Y129" s="18" t="n"/>
      <c r="Z129" s="20" t="n"/>
      <c r="AA129" s="20" t="n"/>
      <c r="AB129" s="21" t="n"/>
      <c r="AC129" s="21" t="n"/>
      <c r="AD129" s="22">
        <f>IF(A129="","",IF(OR(Y129="Descartado",M129="Não contatar",T129="Instagram",AG129="Não"),"Descartar",IF(OR(Y129&lt;&gt;"Verificado",U129="",W129="",X129="",Z129="",AA129="",AE129="",AF129="",AG129&lt;&gt;"Sim, confirmado",AH129=""),"Pendente",IF(AND(Z129&gt;=7,AA129&gt;=6),"Alta",IF(AND(Z129&gt;=5,AA129&gt;=4),"Média","Baixa")))))</f>
        <v/>
      </c>
      <c r="AE129" s="29" t="n"/>
      <c r="AF129" s="29" t="n"/>
      <c r="AG129" s="29" t="n"/>
      <c r="AH129" s="29" t="n"/>
      <c r="AI129" s="30">
        <f>IF(A129="","",IF(AE129="","País a verificar",IF(AE129="Brasil","Brasil","FORA DO BRASIL · "&amp;AE129)))</f>
        <v/>
      </c>
    </row>
    <row r="130" ht="28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7" t="n"/>
      <c r="K130" s="7" t="n"/>
      <c r="L130" s="6" t="n"/>
      <c r="M130" s="6" t="n"/>
      <c r="N130" s="8" t="n"/>
      <c r="O130" s="8" t="n"/>
      <c r="P130" s="7" t="n"/>
      <c r="Q130" s="6" t="n"/>
      <c r="R130" s="6" t="n"/>
      <c r="S130" s="9">
        <f>IF(A130="","",IF(M130="Não contatar","Não contatar",IF(OR(H130="Fechado",H130="Perdido"),"Encerrado",IF(K130="","Sem data",IF(K130&lt;TODAY(),"Atrasado",IF(K130=TODAY(),"Hoje","Agendado")))))))</f>
        <v/>
      </c>
      <c r="T130" s="18" t="n"/>
      <c r="U130" s="18" t="n"/>
      <c r="V130" s="18" t="n"/>
      <c r="W130" s="18" t="n"/>
      <c r="X130" s="19" t="n"/>
      <c r="Y130" s="18" t="n"/>
      <c r="Z130" s="20" t="n"/>
      <c r="AA130" s="20" t="n"/>
      <c r="AB130" s="21" t="n"/>
      <c r="AC130" s="21" t="n"/>
      <c r="AD130" s="22">
        <f>IF(A130="","",IF(OR(Y130="Descartado",M130="Não contatar",T130="Instagram",AG130="Não"),"Descartar",IF(OR(Y130&lt;&gt;"Verificado",U130="",W130="",X130="",Z130="",AA130="",AE130="",AF130="",AG130&lt;&gt;"Sim, confirmado",AH130=""),"Pendente",IF(AND(Z130&gt;=7,AA130&gt;=6),"Alta",IF(AND(Z130&gt;=5,AA130&gt;=4),"Média","Baixa")))))</f>
        <v/>
      </c>
      <c r="AE130" s="29" t="n"/>
      <c r="AF130" s="29" t="n"/>
      <c r="AG130" s="29" t="n"/>
      <c r="AH130" s="29" t="n"/>
      <c r="AI130" s="30">
        <f>IF(A130="","",IF(AE130="","País a verificar",IF(AE130="Brasil","Brasil","FORA DO BRASIL · "&amp;AE130)))</f>
        <v/>
      </c>
    </row>
    <row r="131" ht="28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7" t="n"/>
      <c r="K131" s="7" t="n"/>
      <c r="L131" s="6" t="n"/>
      <c r="M131" s="6" t="n"/>
      <c r="N131" s="8" t="n"/>
      <c r="O131" s="8" t="n"/>
      <c r="P131" s="7" t="n"/>
      <c r="Q131" s="6" t="n"/>
      <c r="R131" s="6" t="n"/>
      <c r="S131" s="9">
        <f>IF(A131="","",IF(M131="Não contatar","Não contatar",IF(OR(H131="Fechado",H131="Perdido"),"Encerrado",IF(K131="","Sem data",IF(K131&lt;TODAY(),"Atrasado",IF(K131=TODAY(),"Hoje","Agendado")))))))</f>
        <v/>
      </c>
      <c r="T131" s="18" t="n"/>
      <c r="U131" s="18" t="n"/>
      <c r="V131" s="18" t="n"/>
      <c r="W131" s="18" t="n"/>
      <c r="X131" s="19" t="n"/>
      <c r="Y131" s="18" t="n"/>
      <c r="Z131" s="20" t="n"/>
      <c r="AA131" s="20" t="n"/>
      <c r="AB131" s="21" t="n"/>
      <c r="AC131" s="21" t="n"/>
      <c r="AD131" s="22">
        <f>IF(A131="","",IF(OR(Y131="Descartado",M131="Não contatar",T131="Instagram",AG131="Não"),"Descartar",IF(OR(Y131&lt;&gt;"Verificado",U131="",W131="",X131="",Z131="",AA131="",AE131="",AF131="",AG131&lt;&gt;"Sim, confirmado",AH131=""),"Pendente",IF(AND(Z131&gt;=7,AA131&gt;=6),"Alta",IF(AND(Z131&gt;=5,AA131&gt;=4),"Média","Baixa")))))</f>
        <v/>
      </c>
      <c r="AE131" s="29" t="n"/>
      <c r="AF131" s="29" t="n"/>
      <c r="AG131" s="29" t="n"/>
      <c r="AH131" s="29" t="n"/>
      <c r="AI131" s="30">
        <f>IF(A131="","",IF(AE131="","País a verificar",IF(AE131="Brasil","Brasil","FORA DO BRASIL · "&amp;AE131)))</f>
        <v/>
      </c>
    </row>
    <row r="132" ht="28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7" t="n"/>
      <c r="K132" s="7" t="n"/>
      <c r="L132" s="6" t="n"/>
      <c r="M132" s="6" t="n"/>
      <c r="N132" s="8" t="n"/>
      <c r="O132" s="8" t="n"/>
      <c r="P132" s="7" t="n"/>
      <c r="Q132" s="6" t="n"/>
      <c r="R132" s="6" t="n"/>
      <c r="S132" s="9">
        <f>IF(A132="","",IF(M132="Não contatar","Não contatar",IF(OR(H132="Fechado",H132="Perdido"),"Encerrado",IF(K132="","Sem data",IF(K132&lt;TODAY(),"Atrasado",IF(K132=TODAY(),"Hoje","Agendado")))))))</f>
        <v/>
      </c>
      <c r="T132" s="18" t="n"/>
      <c r="U132" s="18" t="n"/>
      <c r="V132" s="18" t="n"/>
      <c r="W132" s="18" t="n"/>
      <c r="X132" s="19" t="n"/>
      <c r="Y132" s="18" t="n"/>
      <c r="Z132" s="20" t="n"/>
      <c r="AA132" s="20" t="n"/>
      <c r="AB132" s="21" t="n"/>
      <c r="AC132" s="21" t="n"/>
      <c r="AD132" s="22">
        <f>IF(A132="","",IF(OR(Y132="Descartado",M132="Não contatar",T132="Instagram",AG132="Não"),"Descartar",IF(OR(Y132&lt;&gt;"Verificado",U132="",W132="",X132="",Z132="",AA132="",AE132="",AF132="",AG132&lt;&gt;"Sim, confirmado",AH132=""),"Pendente",IF(AND(Z132&gt;=7,AA132&gt;=6),"Alta",IF(AND(Z132&gt;=5,AA132&gt;=4),"Média","Baixa")))))</f>
        <v/>
      </c>
      <c r="AE132" s="29" t="n"/>
      <c r="AF132" s="29" t="n"/>
      <c r="AG132" s="29" t="n"/>
      <c r="AH132" s="29" t="n"/>
      <c r="AI132" s="30">
        <f>IF(A132="","",IF(AE132="","País a verificar",IF(AE132="Brasil","Brasil","FORA DO BRASIL · "&amp;AE132)))</f>
        <v/>
      </c>
    </row>
    <row r="133" ht="28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7" t="n"/>
      <c r="K133" s="7" t="n"/>
      <c r="L133" s="6" t="n"/>
      <c r="M133" s="6" t="n"/>
      <c r="N133" s="8" t="n"/>
      <c r="O133" s="8" t="n"/>
      <c r="P133" s="7" t="n"/>
      <c r="Q133" s="6" t="n"/>
      <c r="R133" s="6" t="n"/>
      <c r="S133" s="9">
        <f>IF(A133="","",IF(M133="Não contatar","Não contatar",IF(OR(H133="Fechado",H133="Perdido"),"Encerrado",IF(K133="","Sem data",IF(K133&lt;TODAY(),"Atrasado",IF(K133=TODAY(),"Hoje","Agendado")))))))</f>
        <v/>
      </c>
      <c r="T133" s="18" t="n"/>
      <c r="U133" s="18" t="n"/>
      <c r="V133" s="18" t="n"/>
      <c r="W133" s="18" t="n"/>
      <c r="X133" s="19" t="n"/>
      <c r="Y133" s="18" t="n"/>
      <c r="Z133" s="20" t="n"/>
      <c r="AA133" s="20" t="n"/>
      <c r="AB133" s="21" t="n"/>
      <c r="AC133" s="21" t="n"/>
      <c r="AD133" s="22">
        <f>IF(A133="","",IF(OR(Y133="Descartado",M133="Não contatar",T133="Instagram",AG133="Não"),"Descartar",IF(OR(Y133&lt;&gt;"Verificado",U133="",W133="",X133="",Z133="",AA133="",AE133="",AF133="",AG133&lt;&gt;"Sim, confirmado",AH133=""),"Pendente",IF(AND(Z133&gt;=7,AA133&gt;=6),"Alta",IF(AND(Z133&gt;=5,AA133&gt;=4),"Média","Baixa")))))</f>
        <v/>
      </c>
      <c r="AE133" s="29" t="n"/>
      <c r="AF133" s="29" t="n"/>
      <c r="AG133" s="29" t="n"/>
      <c r="AH133" s="29" t="n"/>
      <c r="AI133" s="30">
        <f>IF(A133="","",IF(AE133="","País a verificar",IF(AE133="Brasil","Brasil","FORA DO BRASIL · "&amp;AE133)))</f>
        <v/>
      </c>
    </row>
    <row r="134" ht="28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7" t="n"/>
      <c r="K134" s="7" t="n"/>
      <c r="L134" s="6" t="n"/>
      <c r="M134" s="6" t="n"/>
      <c r="N134" s="8" t="n"/>
      <c r="O134" s="8" t="n"/>
      <c r="P134" s="7" t="n"/>
      <c r="Q134" s="6" t="n"/>
      <c r="R134" s="6" t="n"/>
      <c r="S134" s="9">
        <f>IF(A134="","",IF(M134="Não contatar","Não contatar",IF(OR(H134="Fechado",H134="Perdido"),"Encerrado",IF(K134="","Sem data",IF(K134&lt;TODAY(),"Atrasado",IF(K134=TODAY(),"Hoje","Agendado")))))))</f>
        <v/>
      </c>
      <c r="T134" s="18" t="n"/>
      <c r="U134" s="18" t="n"/>
      <c r="V134" s="18" t="n"/>
      <c r="W134" s="18" t="n"/>
      <c r="X134" s="19" t="n"/>
      <c r="Y134" s="18" t="n"/>
      <c r="Z134" s="20" t="n"/>
      <c r="AA134" s="20" t="n"/>
      <c r="AB134" s="21" t="n"/>
      <c r="AC134" s="21" t="n"/>
      <c r="AD134" s="22">
        <f>IF(A134="","",IF(OR(Y134="Descartado",M134="Não contatar",T134="Instagram",AG134="Não"),"Descartar",IF(OR(Y134&lt;&gt;"Verificado",U134="",W134="",X134="",Z134="",AA134="",AE134="",AF134="",AG134&lt;&gt;"Sim, confirmado",AH134=""),"Pendente",IF(AND(Z134&gt;=7,AA134&gt;=6),"Alta",IF(AND(Z134&gt;=5,AA134&gt;=4),"Média","Baixa")))))</f>
        <v/>
      </c>
      <c r="AE134" s="29" t="n"/>
      <c r="AF134" s="29" t="n"/>
      <c r="AG134" s="29" t="n"/>
      <c r="AH134" s="29" t="n"/>
      <c r="AI134" s="30">
        <f>IF(A134="","",IF(AE134="","País a verificar",IF(AE134="Brasil","Brasil","FORA DO BRASIL · "&amp;AE134)))</f>
        <v/>
      </c>
    </row>
    <row r="135" ht="28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7" t="n"/>
      <c r="K135" s="7" t="n"/>
      <c r="L135" s="6" t="n"/>
      <c r="M135" s="6" t="n"/>
      <c r="N135" s="8" t="n"/>
      <c r="O135" s="8" t="n"/>
      <c r="P135" s="7" t="n"/>
      <c r="Q135" s="6" t="n"/>
      <c r="R135" s="6" t="n"/>
      <c r="S135" s="9">
        <f>IF(A135="","",IF(M135="Não contatar","Não contatar",IF(OR(H135="Fechado",H135="Perdido"),"Encerrado",IF(K135="","Sem data",IF(K135&lt;TODAY(),"Atrasado",IF(K135=TODAY(),"Hoje","Agendado")))))))</f>
        <v/>
      </c>
      <c r="T135" s="18" t="n"/>
      <c r="U135" s="18" t="n"/>
      <c r="V135" s="18" t="n"/>
      <c r="W135" s="18" t="n"/>
      <c r="X135" s="19" t="n"/>
      <c r="Y135" s="18" t="n"/>
      <c r="Z135" s="20" t="n"/>
      <c r="AA135" s="20" t="n"/>
      <c r="AB135" s="21" t="n"/>
      <c r="AC135" s="21" t="n"/>
      <c r="AD135" s="22">
        <f>IF(A135="","",IF(OR(Y135="Descartado",M135="Não contatar",T135="Instagram",AG135="Não"),"Descartar",IF(OR(Y135&lt;&gt;"Verificado",U135="",W135="",X135="",Z135="",AA135="",AE135="",AF135="",AG135&lt;&gt;"Sim, confirmado",AH135=""),"Pendente",IF(AND(Z135&gt;=7,AA135&gt;=6),"Alta",IF(AND(Z135&gt;=5,AA135&gt;=4),"Média","Baixa")))))</f>
        <v/>
      </c>
      <c r="AE135" s="29" t="n"/>
      <c r="AF135" s="29" t="n"/>
      <c r="AG135" s="29" t="n"/>
      <c r="AH135" s="29" t="n"/>
      <c r="AI135" s="30">
        <f>IF(A135="","",IF(AE135="","País a verificar",IF(AE135="Brasil","Brasil","FORA DO BRASIL · "&amp;AE135)))</f>
        <v/>
      </c>
    </row>
    <row r="136" ht="28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7" t="n"/>
      <c r="K136" s="7" t="n"/>
      <c r="L136" s="6" t="n"/>
      <c r="M136" s="6" t="n"/>
      <c r="N136" s="8" t="n"/>
      <c r="O136" s="8" t="n"/>
      <c r="P136" s="7" t="n"/>
      <c r="Q136" s="6" t="n"/>
      <c r="R136" s="6" t="n"/>
      <c r="S136" s="9">
        <f>IF(A136="","",IF(M136="Não contatar","Não contatar",IF(OR(H136="Fechado",H136="Perdido"),"Encerrado",IF(K136="","Sem data",IF(K136&lt;TODAY(),"Atrasado",IF(K136=TODAY(),"Hoje","Agendado")))))))</f>
        <v/>
      </c>
      <c r="T136" s="18" t="n"/>
      <c r="U136" s="18" t="n"/>
      <c r="V136" s="18" t="n"/>
      <c r="W136" s="18" t="n"/>
      <c r="X136" s="19" t="n"/>
      <c r="Y136" s="18" t="n"/>
      <c r="Z136" s="20" t="n"/>
      <c r="AA136" s="20" t="n"/>
      <c r="AB136" s="21" t="n"/>
      <c r="AC136" s="21" t="n"/>
      <c r="AD136" s="22">
        <f>IF(A136="","",IF(OR(Y136="Descartado",M136="Não contatar",T136="Instagram",AG136="Não"),"Descartar",IF(OR(Y136&lt;&gt;"Verificado",U136="",W136="",X136="",Z136="",AA136="",AE136="",AF136="",AG136&lt;&gt;"Sim, confirmado",AH136=""),"Pendente",IF(AND(Z136&gt;=7,AA136&gt;=6),"Alta",IF(AND(Z136&gt;=5,AA136&gt;=4),"Média","Baixa")))))</f>
        <v/>
      </c>
      <c r="AE136" s="29" t="n"/>
      <c r="AF136" s="29" t="n"/>
      <c r="AG136" s="29" t="n"/>
      <c r="AH136" s="29" t="n"/>
      <c r="AI136" s="30">
        <f>IF(A136="","",IF(AE136="","País a verificar",IF(AE136="Brasil","Brasil","FORA DO BRASIL · "&amp;AE136)))</f>
        <v/>
      </c>
    </row>
    <row r="137" ht="28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7" t="n"/>
      <c r="K137" s="7" t="n"/>
      <c r="L137" s="6" t="n"/>
      <c r="M137" s="6" t="n"/>
      <c r="N137" s="8" t="n"/>
      <c r="O137" s="8" t="n"/>
      <c r="P137" s="7" t="n"/>
      <c r="Q137" s="6" t="n"/>
      <c r="R137" s="6" t="n"/>
      <c r="S137" s="9">
        <f>IF(A137="","",IF(M137="Não contatar","Não contatar",IF(OR(H137="Fechado",H137="Perdido"),"Encerrado",IF(K137="","Sem data",IF(K137&lt;TODAY(),"Atrasado",IF(K137=TODAY(),"Hoje","Agendado")))))))</f>
        <v/>
      </c>
      <c r="T137" s="18" t="n"/>
      <c r="U137" s="18" t="n"/>
      <c r="V137" s="18" t="n"/>
      <c r="W137" s="18" t="n"/>
      <c r="X137" s="19" t="n"/>
      <c r="Y137" s="18" t="n"/>
      <c r="Z137" s="20" t="n"/>
      <c r="AA137" s="20" t="n"/>
      <c r="AB137" s="21" t="n"/>
      <c r="AC137" s="21" t="n"/>
      <c r="AD137" s="22">
        <f>IF(A137="","",IF(OR(Y137="Descartado",M137="Não contatar",T137="Instagram",AG137="Não"),"Descartar",IF(OR(Y137&lt;&gt;"Verificado",U137="",W137="",X137="",Z137="",AA137="",AE137="",AF137="",AG137&lt;&gt;"Sim, confirmado",AH137=""),"Pendente",IF(AND(Z137&gt;=7,AA137&gt;=6),"Alta",IF(AND(Z137&gt;=5,AA137&gt;=4),"Média","Baixa")))))</f>
        <v/>
      </c>
      <c r="AE137" s="29" t="n"/>
      <c r="AF137" s="29" t="n"/>
      <c r="AG137" s="29" t="n"/>
      <c r="AH137" s="29" t="n"/>
      <c r="AI137" s="30">
        <f>IF(A137="","",IF(AE137="","País a verificar",IF(AE137="Brasil","Brasil","FORA DO BRASIL · "&amp;AE137)))</f>
        <v/>
      </c>
    </row>
    <row r="138" ht="28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7" t="n"/>
      <c r="K138" s="7" t="n"/>
      <c r="L138" s="6" t="n"/>
      <c r="M138" s="6" t="n"/>
      <c r="N138" s="8" t="n"/>
      <c r="O138" s="8" t="n"/>
      <c r="P138" s="7" t="n"/>
      <c r="Q138" s="6" t="n"/>
      <c r="R138" s="6" t="n"/>
      <c r="S138" s="9">
        <f>IF(A138="","",IF(M138="Não contatar","Não contatar",IF(OR(H138="Fechado",H138="Perdido"),"Encerrado",IF(K138="","Sem data",IF(K138&lt;TODAY(),"Atrasado",IF(K138=TODAY(),"Hoje","Agendado")))))))</f>
        <v/>
      </c>
      <c r="T138" s="18" t="n"/>
      <c r="U138" s="18" t="n"/>
      <c r="V138" s="18" t="n"/>
      <c r="W138" s="18" t="n"/>
      <c r="X138" s="19" t="n"/>
      <c r="Y138" s="18" t="n"/>
      <c r="Z138" s="20" t="n"/>
      <c r="AA138" s="20" t="n"/>
      <c r="AB138" s="21" t="n"/>
      <c r="AC138" s="21" t="n"/>
      <c r="AD138" s="22">
        <f>IF(A138="","",IF(OR(Y138="Descartado",M138="Não contatar",T138="Instagram",AG138="Não"),"Descartar",IF(OR(Y138&lt;&gt;"Verificado",U138="",W138="",X138="",Z138="",AA138="",AE138="",AF138="",AG138&lt;&gt;"Sim, confirmado",AH138=""),"Pendente",IF(AND(Z138&gt;=7,AA138&gt;=6),"Alta",IF(AND(Z138&gt;=5,AA138&gt;=4),"Média","Baixa")))))</f>
        <v/>
      </c>
      <c r="AE138" s="29" t="n"/>
      <c r="AF138" s="29" t="n"/>
      <c r="AG138" s="29" t="n"/>
      <c r="AH138" s="29" t="n"/>
      <c r="AI138" s="30">
        <f>IF(A138="","",IF(AE138="","País a verificar",IF(AE138="Brasil","Brasil","FORA DO BRASIL · "&amp;AE138)))</f>
        <v/>
      </c>
    </row>
    <row r="139" ht="28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7" t="n"/>
      <c r="K139" s="7" t="n"/>
      <c r="L139" s="6" t="n"/>
      <c r="M139" s="6" t="n"/>
      <c r="N139" s="8" t="n"/>
      <c r="O139" s="8" t="n"/>
      <c r="P139" s="7" t="n"/>
      <c r="Q139" s="6" t="n"/>
      <c r="R139" s="6" t="n"/>
      <c r="S139" s="9">
        <f>IF(A139="","",IF(M139="Não contatar","Não contatar",IF(OR(H139="Fechado",H139="Perdido"),"Encerrado",IF(K139="","Sem data",IF(K139&lt;TODAY(),"Atrasado",IF(K139=TODAY(),"Hoje","Agendado")))))))</f>
        <v/>
      </c>
      <c r="T139" s="18" t="n"/>
      <c r="U139" s="18" t="n"/>
      <c r="V139" s="18" t="n"/>
      <c r="W139" s="18" t="n"/>
      <c r="X139" s="19" t="n"/>
      <c r="Y139" s="18" t="n"/>
      <c r="Z139" s="20" t="n"/>
      <c r="AA139" s="20" t="n"/>
      <c r="AB139" s="21" t="n"/>
      <c r="AC139" s="21" t="n"/>
      <c r="AD139" s="22">
        <f>IF(A139="","",IF(OR(Y139="Descartado",M139="Não contatar",T139="Instagram",AG139="Não"),"Descartar",IF(OR(Y139&lt;&gt;"Verificado",U139="",W139="",X139="",Z139="",AA139="",AE139="",AF139="",AG139&lt;&gt;"Sim, confirmado",AH139=""),"Pendente",IF(AND(Z139&gt;=7,AA139&gt;=6),"Alta",IF(AND(Z139&gt;=5,AA139&gt;=4),"Média","Baixa")))))</f>
        <v/>
      </c>
      <c r="AE139" s="29" t="n"/>
      <c r="AF139" s="29" t="n"/>
      <c r="AG139" s="29" t="n"/>
      <c r="AH139" s="29" t="n"/>
      <c r="AI139" s="30">
        <f>IF(A139="","",IF(AE139="","País a verificar",IF(AE139="Brasil","Brasil","FORA DO BRASIL · "&amp;AE139)))</f>
        <v/>
      </c>
    </row>
    <row r="140" ht="28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7" t="n"/>
      <c r="K140" s="7" t="n"/>
      <c r="L140" s="6" t="n"/>
      <c r="M140" s="6" t="n"/>
      <c r="N140" s="8" t="n"/>
      <c r="O140" s="8" t="n"/>
      <c r="P140" s="7" t="n"/>
      <c r="Q140" s="6" t="n"/>
      <c r="R140" s="6" t="n"/>
      <c r="S140" s="9">
        <f>IF(A140="","",IF(M140="Não contatar","Não contatar",IF(OR(H140="Fechado",H140="Perdido"),"Encerrado",IF(K140="","Sem data",IF(K140&lt;TODAY(),"Atrasado",IF(K140=TODAY(),"Hoje","Agendado")))))))</f>
        <v/>
      </c>
      <c r="T140" s="18" t="n"/>
      <c r="U140" s="18" t="n"/>
      <c r="V140" s="18" t="n"/>
      <c r="W140" s="18" t="n"/>
      <c r="X140" s="19" t="n"/>
      <c r="Y140" s="18" t="n"/>
      <c r="Z140" s="20" t="n"/>
      <c r="AA140" s="20" t="n"/>
      <c r="AB140" s="21" t="n"/>
      <c r="AC140" s="21" t="n"/>
      <c r="AD140" s="22">
        <f>IF(A140="","",IF(OR(Y140="Descartado",M140="Não contatar",T140="Instagram",AG140="Não"),"Descartar",IF(OR(Y140&lt;&gt;"Verificado",U140="",W140="",X140="",Z140="",AA140="",AE140="",AF140="",AG140&lt;&gt;"Sim, confirmado",AH140=""),"Pendente",IF(AND(Z140&gt;=7,AA140&gt;=6),"Alta",IF(AND(Z140&gt;=5,AA140&gt;=4),"Média","Baixa")))))</f>
        <v/>
      </c>
      <c r="AE140" s="29" t="n"/>
      <c r="AF140" s="29" t="n"/>
      <c r="AG140" s="29" t="n"/>
      <c r="AH140" s="29" t="n"/>
      <c r="AI140" s="30">
        <f>IF(A140="","",IF(AE140="","País a verificar",IF(AE140="Brasil","Brasil","FORA DO BRASIL · "&amp;AE140)))</f>
        <v/>
      </c>
    </row>
    <row r="141" ht="28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7" t="n"/>
      <c r="K141" s="7" t="n"/>
      <c r="L141" s="6" t="n"/>
      <c r="M141" s="6" t="n"/>
      <c r="N141" s="8" t="n"/>
      <c r="O141" s="8" t="n"/>
      <c r="P141" s="7" t="n"/>
      <c r="Q141" s="6" t="n"/>
      <c r="R141" s="6" t="n"/>
      <c r="S141" s="9">
        <f>IF(A141="","",IF(M141="Não contatar","Não contatar",IF(OR(H141="Fechado",H141="Perdido"),"Encerrado",IF(K141="","Sem data",IF(K141&lt;TODAY(),"Atrasado",IF(K141=TODAY(),"Hoje","Agendado")))))))</f>
        <v/>
      </c>
      <c r="T141" s="18" t="n"/>
      <c r="U141" s="18" t="n"/>
      <c r="V141" s="18" t="n"/>
      <c r="W141" s="18" t="n"/>
      <c r="X141" s="19" t="n"/>
      <c r="Y141" s="18" t="n"/>
      <c r="Z141" s="20" t="n"/>
      <c r="AA141" s="20" t="n"/>
      <c r="AB141" s="21" t="n"/>
      <c r="AC141" s="21" t="n"/>
      <c r="AD141" s="22">
        <f>IF(A141="","",IF(OR(Y141="Descartado",M141="Não contatar",T141="Instagram",AG141="Não"),"Descartar",IF(OR(Y141&lt;&gt;"Verificado",U141="",W141="",X141="",Z141="",AA141="",AE141="",AF141="",AG141&lt;&gt;"Sim, confirmado",AH141=""),"Pendente",IF(AND(Z141&gt;=7,AA141&gt;=6),"Alta",IF(AND(Z141&gt;=5,AA141&gt;=4),"Média","Baixa")))))</f>
        <v/>
      </c>
      <c r="AE141" s="29" t="n"/>
      <c r="AF141" s="29" t="n"/>
      <c r="AG141" s="29" t="n"/>
      <c r="AH141" s="29" t="n"/>
      <c r="AI141" s="30">
        <f>IF(A141="","",IF(AE141="","País a verificar",IF(AE141="Brasil","Brasil","FORA DO BRASIL · "&amp;AE141)))</f>
        <v/>
      </c>
    </row>
    <row r="142" ht="28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7" t="n"/>
      <c r="K142" s="7" t="n"/>
      <c r="L142" s="6" t="n"/>
      <c r="M142" s="6" t="n"/>
      <c r="N142" s="8" t="n"/>
      <c r="O142" s="8" t="n"/>
      <c r="P142" s="7" t="n"/>
      <c r="Q142" s="6" t="n"/>
      <c r="R142" s="6" t="n"/>
      <c r="S142" s="9">
        <f>IF(A142="","",IF(M142="Não contatar","Não contatar",IF(OR(H142="Fechado",H142="Perdido"),"Encerrado",IF(K142="","Sem data",IF(K142&lt;TODAY(),"Atrasado",IF(K142=TODAY(),"Hoje","Agendado")))))))</f>
        <v/>
      </c>
      <c r="T142" s="18" t="n"/>
      <c r="U142" s="18" t="n"/>
      <c r="V142" s="18" t="n"/>
      <c r="W142" s="18" t="n"/>
      <c r="X142" s="19" t="n"/>
      <c r="Y142" s="18" t="n"/>
      <c r="Z142" s="20" t="n"/>
      <c r="AA142" s="20" t="n"/>
      <c r="AB142" s="21" t="n"/>
      <c r="AC142" s="21" t="n"/>
      <c r="AD142" s="22">
        <f>IF(A142="","",IF(OR(Y142="Descartado",M142="Não contatar",T142="Instagram",AG142="Não"),"Descartar",IF(OR(Y142&lt;&gt;"Verificado",U142="",W142="",X142="",Z142="",AA142="",AE142="",AF142="",AG142&lt;&gt;"Sim, confirmado",AH142=""),"Pendente",IF(AND(Z142&gt;=7,AA142&gt;=6),"Alta",IF(AND(Z142&gt;=5,AA142&gt;=4),"Média","Baixa")))))</f>
        <v/>
      </c>
      <c r="AE142" s="29" t="n"/>
      <c r="AF142" s="29" t="n"/>
      <c r="AG142" s="29" t="n"/>
      <c r="AH142" s="29" t="n"/>
      <c r="AI142" s="30">
        <f>IF(A142="","",IF(AE142="","País a verificar",IF(AE142="Brasil","Brasil","FORA DO BRASIL · "&amp;AE142)))</f>
        <v/>
      </c>
    </row>
    <row r="143" ht="28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7" t="n"/>
      <c r="K143" s="7" t="n"/>
      <c r="L143" s="6" t="n"/>
      <c r="M143" s="6" t="n"/>
      <c r="N143" s="8" t="n"/>
      <c r="O143" s="8" t="n"/>
      <c r="P143" s="7" t="n"/>
      <c r="Q143" s="6" t="n"/>
      <c r="R143" s="6" t="n"/>
      <c r="S143" s="9">
        <f>IF(A143="","",IF(M143="Não contatar","Não contatar",IF(OR(H143="Fechado",H143="Perdido"),"Encerrado",IF(K143="","Sem data",IF(K143&lt;TODAY(),"Atrasado",IF(K143=TODAY(),"Hoje","Agendado")))))))</f>
        <v/>
      </c>
      <c r="T143" s="18" t="n"/>
      <c r="U143" s="18" t="n"/>
      <c r="V143" s="18" t="n"/>
      <c r="W143" s="18" t="n"/>
      <c r="X143" s="19" t="n"/>
      <c r="Y143" s="18" t="n"/>
      <c r="Z143" s="20" t="n"/>
      <c r="AA143" s="20" t="n"/>
      <c r="AB143" s="21" t="n"/>
      <c r="AC143" s="21" t="n"/>
      <c r="AD143" s="22">
        <f>IF(A143="","",IF(OR(Y143="Descartado",M143="Não contatar",T143="Instagram",AG143="Não"),"Descartar",IF(OR(Y143&lt;&gt;"Verificado",U143="",W143="",X143="",Z143="",AA143="",AE143="",AF143="",AG143&lt;&gt;"Sim, confirmado",AH143=""),"Pendente",IF(AND(Z143&gt;=7,AA143&gt;=6),"Alta",IF(AND(Z143&gt;=5,AA143&gt;=4),"Média","Baixa")))))</f>
        <v/>
      </c>
      <c r="AE143" s="29" t="n"/>
      <c r="AF143" s="29" t="n"/>
      <c r="AG143" s="29" t="n"/>
      <c r="AH143" s="29" t="n"/>
      <c r="AI143" s="30">
        <f>IF(A143="","",IF(AE143="","País a verificar",IF(AE143="Brasil","Brasil","FORA DO BRASIL · "&amp;AE143)))</f>
        <v/>
      </c>
    </row>
    <row r="144" ht="28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7" t="n"/>
      <c r="K144" s="7" t="n"/>
      <c r="L144" s="6" t="n"/>
      <c r="M144" s="6" t="n"/>
      <c r="N144" s="8" t="n"/>
      <c r="O144" s="8" t="n"/>
      <c r="P144" s="7" t="n"/>
      <c r="Q144" s="6" t="n"/>
      <c r="R144" s="6" t="n"/>
      <c r="S144" s="9">
        <f>IF(A144="","",IF(M144="Não contatar","Não contatar",IF(OR(H144="Fechado",H144="Perdido"),"Encerrado",IF(K144="","Sem data",IF(K144&lt;TODAY(),"Atrasado",IF(K144=TODAY(),"Hoje","Agendado")))))))</f>
        <v/>
      </c>
      <c r="T144" s="18" t="n"/>
      <c r="U144" s="18" t="n"/>
      <c r="V144" s="18" t="n"/>
      <c r="W144" s="18" t="n"/>
      <c r="X144" s="19" t="n"/>
      <c r="Y144" s="18" t="n"/>
      <c r="Z144" s="20" t="n"/>
      <c r="AA144" s="20" t="n"/>
      <c r="AB144" s="21" t="n"/>
      <c r="AC144" s="21" t="n"/>
      <c r="AD144" s="22">
        <f>IF(A144="","",IF(OR(Y144="Descartado",M144="Não contatar",T144="Instagram",AG144="Não"),"Descartar",IF(OR(Y144&lt;&gt;"Verificado",U144="",W144="",X144="",Z144="",AA144="",AE144="",AF144="",AG144&lt;&gt;"Sim, confirmado",AH144=""),"Pendente",IF(AND(Z144&gt;=7,AA144&gt;=6),"Alta",IF(AND(Z144&gt;=5,AA144&gt;=4),"Média","Baixa")))))</f>
        <v/>
      </c>
      <c r="AE144" s="29" t="n"/>
      <c r="AF144" s="29" t="n"/>
      <c r="AG144" s="29" t="n"/>
      <c r="AH144" s="29" t="n"/>
      <c r="AI144" s="30">
        <f>IF(A144="","",IF(AE144="","País a verificar",IF(AE144="Brasil","Brasil","FORA DO BRASIL · "&amp;AE144)))</f>
        <v/>
      </c>
    </row>
    <row r="145" ht="28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7" t="n"/>
      <c r="K145" s="7" t="n"/>
      <c r="L145" s="6" t="n"/>
      <c r="M145" s="6" t="n"/>
      <c r="N145" s="8" t="n"/>
      <c r="O145" s="8" t="n"/>
      <c r="P145" s="7" t="n"/>
      <c r="Q145" s="6" t="n"/>
      <c r="R145" s="6" t="n"/>
      <c r="S145" s="9">
        <f>IF(A145="","",IF(M145="Não contatar","Não contatar",IF(OR(H145="Fechado",H145="Perdido"),"Encerrado",IF(K145="","Sem data",IF(K145&lt;TODAY(),"Atrasado",IF(K145=TODAY(),"Hoje","Agendado")))))))</f>
        <v/>
      </c>
      <c r="T145" s="18" t="n"/>
      <c r="U145" s="18" t="n"/>
      <c r="V145" s="18" t="n"/>
      <c r="W145" s="18" t="n"/>
      <c r="X145" s="19" t="n"/>
      <c r="Y145" s="18" t="n"/>
      <c r="Z145" s="20" t="n"/>
      <c r="AA145" s="20" t="n"/>
      <c r="AB145" s="21" t="n"/>
      <c r="AC145" s="21" t="n"/>
      <c r="AD145" s="22">
        <f>IF(A145="","",IF(OR(Y145="Descartado",M145="Não contatar",T145="Instagram",AG145="Não"),"Descartar",IF(OR(Y145&lt;&gt;"Verificado",U145="",W145="",X145="",Z145="",AA145="",AE145="",AF145="",AG145&lt;&gt;"Sim, confirmado",AH145=""),"Pendente",IF(AND(Z145&gt;=7,AA145&gt;=6),"Alta",IF(AND(Z145&gt;=5,AA145&gt;=4),"Média","Baixa")))))</f>
        <v/>
      </c>
      <c r="AE145" s="29" t="n"/>
      <c r="AF145" s="29" t="n"/>
      <c r="AG145" s="29" t="n"/>
      <c r="AH145" s="29" t="n"/>
      <c r="AI145" s="30">
        <f>IF(A145="","",IF(AE145="","País a verificar",IF(AE145="Brasil","Brasil","FORA DO BRASIL · "&amp;AE145)))</f>
        <v/>
      </c>
    </row>
    <row r="146" ht="28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7" t="n"/>
      <c r="K146" s="7" t="n"/>
      <c r="L146" s="6" t="n"/>
      <c r="M146" s="6" t="n"/>
      <c r="N146" s="8" t="n"/>
      <c r="O146" s="8" t="n"/>
      <c r="P146" s="7" t="n"/>
      <c r="Q146" s="6" t="n"/>
      <c r="R146" s="6" t="n"/>
      <c r="S146" s="9">
        <f>IF(A146="","",IF(M146="Não contatar","Não contatar",IF(OR(H146="Fechado",H146="Perdido"),"Encerrado",IF(K146="","Sem data",IF(K146&lt;TODAY(),"Atrasado",IF(K146=TODAY(),"Hoje","Agendado")))))))</f>
        <v/>
      </c>
      <c r="T146" s="18" t="n"/>
      <c r="U146" s="18" t="n"/>
      <c r="V146" s="18" t="n"/>
      <c r="W146" s="18" t="n"/>
      <c r="X146" s="19" t="n"/>
      <c r="Y146" s="18" t="n"/>
      <c r="Z146" s="20" t="n"/>
      <c r="AA146" s="20" t="n"/>
      <c r="AB146" s="21" t="n"/>
      <c r="AC146" s="21" t="n"/>
      <c r="AD146" s="22">
        <f>IF(A146="","",IF(OR(Y146="Descartado",M146="Não contatar",T146="Instagram",AG146="Não"),"Descartar",IF(OR(Y146&lt;&gt;"Verificado",U146="",W146="",X146="",Z146="",AA146="",AE146="",AF146="",AG146&lt;&gt;"Sim, confirmado",AH146=""),"Pendente",IF(AND(Z146&gt;=7,AA146&gt;=6),"Alta",IF(AND(Z146&gt;=5,AA146&gt;=4),"Média","Baixa")))))</f>
        <v/>
      </c>
      <c r="AE146" s="29" t="n"/>
      <c r="AF146" s="29" t="n"/>
      <c r="AG146" s="29" t="n"/>
      <c r="AH146" s="29" t="n"/>
      <c r="AI146" s="30">
        <f>IF(A146="","",IF(AE146="","País a verificar",IF(AE146="Brasil","Brasil","FORA DO BRASIL · "&amp;AE146)))</f>
        <v/>
      </c>
    </row>
    <row r="147" ht="28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7" t="n"/>
      <c r="K147" s="7" t="n"/>
      <c r="L147" s="6" t="n"/>
      <c r="M147" s="6" t="n"/>
      <c r="N147" s="8" t="n"/>
      <c r="O147" s="8" t="n"/>
      <c r="P147" s="7" t="n"/>
      <c r="Q147" s="6" t="n"/>
      <c r="R147" s="6" t="n"/>
      <c r="S147" s="9">
        <f>IF(A147="","",IF(M147="Não contatar","Não contatar",IF(OR(H147="Fechado",H147="Perdido"),"Encerrado",IF(K147="","Sem data",IF(K147&lt;TODAY(),"Atrasado",IF(K147=TODAY(),"Hoje","Agendado")))))))</f>
        <v/>
      </c>
      <c r="T147" s="18" t="n"/>
      <c r="U147" s="18" t="n"/>
      <c r="V147" s="18" t="n"/>
      <c r="W147" s="18" t="n"/>
      <c r="X147" s="19" t="n"/>
      <c r="Y147" s="18" t="n"/>
      <c r="Z147" s="20" t="n"/>
      <c r="AA147" s="20" t="n"/>
      <c r="AB147" s="21" t="n"/>
      <c r="AC147" s="21" t="n"/>
      <c r="AD147" s="22">
        <f>IF(A147="","",IF(OR(Y147="Descartado",M147="Não contatar",T147="Instagram",AG147="Não"),"Descartar",IF(OR(Y147&lt;&gt;"Verificado",U147="",W147="",X147="",Z147="",AA147="",AE147="",AF147="",AG147&lt;&gt;"Sim, confirmado",AH147=""),"Pendente",IF(AND(Z147&gt;=7,AA147&gt;=6),"Alta",IF(AND(Z147&gt;=5,AA147&gt;=4),"Média","Baixa")))))</f>
        <v/>
      </c>
      <c r="AE147" s="29" t="n"/>
      <c r="AF147" s="29" t="n"/>
      <c r="AG147" s="29" t="n"/>
      <c r="AH147" s="29" t="n"/>
      <c r="AI147" s="30">
        <f>IF(A147="","",IF(AE147="","País a verificar",IF(AE147="Brasil","Brasil","FORA DO BRASIL · "&amp;AE147)))</f>
        <v/>
      </c>
    </row>
    <row r="148" ht="28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7" t="n"/>
      <c r="K148" s="7" t="n"/>
      <c r="L148" s="6" t="n"/>
      <c r="M148" s="6" t="n"/>
      <c r="N148" s="8" t="n"/>
      <c r="O148" s="8" t="n"/>
      <c r="P148" s="7" t="n"/>
      <c r="Q148" s="6" t="n"/>
      <c r="R148" s="6" t="n"/>
      <c r="S148" s="9">
        <f>IF(A148="","",IF(M148="Não contatar","Não contatar",IF(OR(H148="Fechado",H148="Perdido"),"Encerrado",IF(K148="","Sem data",IF(K148&lt;TODAY(),"Atrasado",IF(K148=TODAY(),"Hoje","Agendado")))))))</f>
        <v/>
      </c>
      <c r="T148" s="18" t="n"/>
      <c r="U148" s="18" t="n"/>
      <c r="V148" s="18" t="n"/>
      <c r="W148" s="18" t="n"/>
      <c r="X148" s="19" t="n"/>
      <c r="Y148" s="18" t="n"/>
      <c r="Z148" s="20" t="n"/>
      <c r="AA148" s="20" t="n"/>
      <c r="AB148" s="21" t="n"/>
      <c r="AC148" s="21" t="n"/>
      <c r="AD148" s="22">
        <f>IF(A148="","",IF(OR(Y148="Descartado",M148="Não contatar",T148="Instagram",AG148="Não"),"Descartar",IF(OR(Y148&lt;&gt;"Verificado",U148="",W148="",X148="",Z148="",AA148="",AE148="",AF148="",AG148&lt;&gt;"Sim, confirmado",AH148=""),"Pendente",IF(AND(Z148&gt;=7,AA148&gt;=6),"Alta",IF(AND(Z148&gt;=5,AA148&gt;=4),"Média","Baixa")))))</f>
        <v/>
      </c>
      <c r="AE148" s="29" t="n"/>
      <c r="AF148" s="29" t="n"/>
      <c r="AG148" s="29" t="n"/>
      <c r="AH148" s="29" t="n"/>
      <c r="AI148" s="30">
        <f>IF(A148="","",IF(AE148="","País a verificar",IF(AE148="Brasil","Brasil","FORA DO BRASIL · "&amp;AE148)))</f>
        <v/>
      </c>
    </row>
    <row r="149" ht="28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7" t="n"/>
      <c r="K149" s="7" t="n"/>
      <c r="L149" s="6" t="n"/>
      <c r="M149" s="6" t="n"/>
      <c r="N149" s="8" t="n"/>
      <c r="O149" s="8" t="n"/>
      <c r="P149" s="7" t="n"/>
      <c r="Q149" s="6" t="n"/>
      <c r="R149" s="6" t="n"/>
      <c r="S149" s="9">
        <f>IF(A149="","",IF(M149="Não contatar","Não contatar",IF(OR(H149="Fechado",H149="Perdido"),"Encerrado",IF(K149="","Sem data",IF(K149&lt;TODAY(),"Atrasado",IF(K149=TODAY(),"Hoje","Agendado")))))))</f>
        <v/>
      </c>
      <c r="T149" s="18" t="n"/>
      <c r="U149" s="18" t="n"/>
      <c r="V149" s="18" t="n"/>
      <c r="W149" s="18" t="n"/>
      <c r="X149" s="19" t="n"/>
      <c r="Y149" s="18" t="n"/>
      <c r="Z149" s="20" t="n"/>
      <c r="AA149" s="20" t="n"/>
      <c r="AB149" s="21" t="n"/>
      <c r="AC149" s="21" t="n"/>
      <c r="AD149" s="22">
        <f>IF(A149="","",IF(OR(Y149="Descartado",M149="Não contatar",T149="Instagram",AG149="Não"),"Descartar",IF(OR(Y149&lt;&gt;"Verificado",U149="",W149="",X149="",Z149="",AA149="",AE149="",AF149="",AG149&lt;&gt;"Sim, confirmado",AH149=""),"Pendente",IF(AND(Z149&gt;=7,AA149&gt;=6),"Alta",IF(AND(Z149&gt;=5,AA149&gt;=4),"Média","Baixa")))))</f>
        <v/>
      </c>
      <c r="AE149" s="29" t="n"/>
      <c r="AF149" s="29" t="n"/>
      <c r="AG149" s="29" t="n"/>
      <c r="AH149" s="29" t="n"/>
      <c r="AI149" s="30">
        <f>IF(A149="","",IF(AE149="","País a verificar",IF(AE149="Brasil","Brasil","FORA DO BRASIL · "&amp;AE149)))</f>
        <v/>
      </c>
    </row>
    <row r="150" ht="28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7" t="n"/>
      <c r="K150" s="7" t="n"/>
      <c r="L150" s="6" t="n"/>
      <c r="M150" s="6" t="n"/>
      <c r="N150" s="8" t="n"/>
      <c r="O150" s="8" t="n"/>
      <c r="P150" s="7" t="n"/>
      <c r="Q150" s="6" t="n"/>
      <c r="R150" s="6" t="n"/>
      <c r="S150" s="9">
        <f>IF(A150="","",IF(M150="Não contatar","Não contatar",IF(OR(H150="Fechado",H150="Perdido"),"Encerrado",IF(K150="","Sem data",IF(K150&lt;TODAY(),"Atrasado",IF(K150=TODAY(),"Hoje","Agendado")))))))</f>
        <v/>
      </c>
      <c r="T150" s="18" t="n"/>
      <c r="U150" s="18" t="n"/>
      <c r="V150" s="18" t="n"/>
      <c r="W150" s="18" t="n"/>
      <c r="X150" s="19" t="n"/>
      <c r="Y150" s="18" t="n"/>
      <c r="Z150" s="20" t="n"/>
      <c r="AA150" s="20" t="n"/>
      <c r="AB150" s="21" t="n"/>
      <c r="AC150" s="21" t="n"/>
      <c r="AD150" s="22">
        <f>IF(A150="","",IF(OR(Y150="Descartado",M150="Não contatar",T150="Instagram",AG150="Não"),"Descartar",IF(OR(Y150&lt;&gt;"Verificado",U150="",W150="",X150="",Z150="",AA150="",AE150="",AF150="",AG150&lt;&gt;"Sim, confirmado",AH150=""),"Pendente",IF(AND(Z150&gt;=7,AA150&gt;=6),"Alta",IF(AND(Z150&gt;=5,AA150&gt;=4),"Média","Baixa")))))</f>
        <v/>
      </c>
      <c r="AE150" s="29" t="n"/>
      <c r="AF150" s="29" t="n"/>
      <c r="AG150" s="29" t="n"/>
      <c r="AH150" s="29" t="n"/>
      <c r="AI150" s="30">
        <f>IF(A150="","",IF(AE150="","País a verificar",IF(AE150="Brasil","Brasil","FORA DO BRASIL · "&amp;AE150)))</f>
        <v/>
      </c>
    </row>
    <row r="151" ht="28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7" t="n"/>
      <c r="K151" s="7" t="n"/>
      <c r="L151" s="6" t="n"/>
      <c r="M151" s="6" t="n"/>
      <c r="N151" s="8" t="n"/>
      <c r="O151" s="8" t="n"/>
      <c r="P151" s="7" t="n"/>
      <c r="Q151" s="6" t="n"/>
      <c r="R151" s="6" t="n"/>
      <c r="S151" s="9">
        <f>IF(A151="","",IF(M151="Não contatar","Não contatar",IF(OR(H151="Fechado",H151="Perdido"),"Encerrado",IF(K151="","Sem data",IF(K151&lt;TODAY(),"Atrasado",IF(K151=TODAY(),"Hoje","Agendado")))))))</f>
        <v/>
      </c>
      <c r="T151" s="18" t="n"/>
      <c r="U151" s="18" t="n"/>
      <c r="V151" s="18" t="n"/>
      <c r="W151" s="18" t="n"/>
      <c r="X151" s="19" t="n"/>
      <c r="Y151" s="18" t="n"/>
      <c r="Z151" s="20" t="n"/>
      <c r="AA151" s="20" t="n"/>
      <c r="AB151" s="21" t="n"/>
      <c r="AC151" s="21" t="n"/>
      <c r="AD151" s="22">
        <f>IF(A151="","",IF(OR(Y151="Descartado",M151="Não contatar",T151="Instagram",AG151="Não"),"Descartar",IF(OR(Y151&lt;&gt;"Verificado",U151="",W151="",X151="",Z151="",AA151="",AE151="",AF151="",AG151&lt;&gt;"Sim, confirmado",AH151=""),"Pendente",IF(AND(Z151&gt;=7,AA151&gt;=6),"Alta",IF(AND(Z151&gt;=5,AA151&gt;=4),"Média","Baixa")))))</f>
        <v/>
      </c>
      <c r="AE151" s="29" t="n"/>
      <c r="AF151" s="29" t="n"/>
      <c r="AG151" s="29" t="n"/>
      <c r="AH151" s="29" t="n"/>
      <c r="AI151" s="30">
        <f>IF(A151="","",IF(AE151="","País a verificar",IF(AE151="Brasil","Brasil","FORA DO BRASIL · "&amp;AE151)))</f>
        <v/>
      </c>
    </row>
    <row r="152" ht="28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7" t="n"/>
      <c r="K152" s="7" t="n"/>
      <c r="L152" s="6" t="n"/>
      <c r="M152" s="6" t="n"/>
      <c r="N152" s="8" t="n"/>
      <c r="O152" s="8" t="n"/>
      <c r="P152" s="7" t="n"/>
      <c r="Q152" s="6" t="n"/>
      <c r="R152" s="6" t="n"/>
      <c r="S152" s="9">
        <f>IF(A152="","",IF(M152="Não contatar","Não contatar",IF(OR(H152="Fechado",H152="Perdido"),"Encerrado",IF(K152="","Sem data",IF(K152&lt;TODAY(),"Atrasado",IF(K152=TODAY(),"Hoje","Agendado")))))))</f>
        <v/>
      </c>
      <c r="T152" s="18" t="n"/>
      <c r="U152" s="18" t="n"/>
      <c r="V152" s="18" t="n"/>
      <c r="W152" s="18" t="n"/>
      <c r="X152" s="19" t="n"/>
      <c r="Y152" s="18" t="n"/>
      <c r="Z152" s="20" t="n"/>
      <c r="AA152" s="20" t="n"/>
      <c r="AB152" s="21" t="n"/>
      <c r="AC152" s="21" t="n"/>
      <c r="AD152" s="22">
        <f>IF(A152="","",IF(OR(Y152="Descartado",M152="Não contatar",T152="Instagram",AG152="Não"),"Descartar",IF(OR(Y152&lt;&gt;"Verificado",U152="",W152="",X152="",Z152="",AA152="",AE152="",AF152="",AG152&lt;&gt;"Sim, confirmado",AH152=""),"Pendente",IF(AND(Z152&gt;=7,AA152&gt;=6),"Alta",IF(AND(Z152&gt;=5,AA152&gt;=4),"Média","Baixa")))))</f>
        <v/>
      </c>
      <c r="AE152" s="29" t="n"/>
      <c r="AF152" s="29" t="n"/>
      <c r="AG152" s="29" t="n"/>
      <c r="AH152" s="29" t="n"/>
      <c r="AI152" s="30">
        <f>IF(A152="","",IF(AE152="","País a verificar",IF(AE152="Brasil","Brasil","FORA DO BRASIL · "&amp;AE152)))</f>
        <v/>
      </c>
    </row>
    <row r="153" ht="28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7" t="n"/>
      <c r="K153" s="7" t="n"/>
      <c r="L153" s="6" t="n"/>
      <c r="M153" s="6" t="n"/>
      <c r="N153" s="8" t="n"/>
      <c r="O153" s="8" t="n"/>
      <c r="P153" s="7" t="n"/>
      <c r="Q153" s="6" t="n"/>
      <c r="R153" s="6" t="n"/>
      <c r="S153" s="9">
        <f>IF(A153="","",IF(M153="Não contatar","Não contatar",IF(OR(H153="Fechado",H153="Perdido"),"Encerrado",IF(K153="","Sem data",IF(K153&lt;TODAY(),"Atrasado",IF(K153=TODAY(),"Hoje","Agendado")))))))</f>
        <v/>
      </c>
      <c r="T153" s="18" t="n"/>
      <c r="U153" s="18" t="n"/>
      <c r="V153" s="18" t="n"/>
      <c r="W153" s="18" t="n"/>
      <c r="X153" s="19" t="n"/>
      <c r="Y153" s="18" t="n"/>
      <c r="Z153" s="20" t="n"/>
      <c r="AA153" s="20" t="n"/>
      <c r="AB153" s="21" t="n"/>
      <c r="AC153" s="21" t="n"/>
      <c r="AD153" s="22">
        <f>IF(A153="","",IF(OR(Y153="Descartado",M153="Não contatar",T153="Instagram",AG153="Não"),"Descartar",IF(OR(Y153&lt;&gt;"Verificado",U153="",W153="",X153="",Z153="",AA153="",AE153="",AF153="",AG153&lt;&gt;"Sim, confirmado",AH153=""),"Pendente",IF(AND(Z153&gt;=7,AA153&gt;=6),"Alta",IF(AND(Z153&gt;=5,AA153&gt;=4),"Média","Baixa")))))</f>
        <v/>
      </c>
      <c r="AE153" s="29" t="n"/>
      <c r="AF153" s="29" t="n"/>
      <c r="AG153" s="29" t="n"/>
      <c r="AH153" s="29" t="n"/>
      <c r="AI153" s="30">
        <f>IF(A153="","",IF(AE153="","País a verificar",IF(AE153="Brasil","Brasil","FORA DO BRASIL · "&amp;AE153)))</f>
        <v/>
      </c>
    </row>
    <row r="154" ht="28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7" t="n"/>
      <c r="K154" s="7" t="n"/>
      <c r="L154" s="6" t="n"/>
      <c r="M154" s="6" t="n"/>
      <c r="N154" s="8" t="n"/>
      <c r="O154" s="8" t="n"/>
      <c r="P154" s="7" t="n"/>
      <c r="Q154" s="6" t="n"/>
      <c r="R154" s="6" t="n"/>
      <c r="S154" s="9">
        <f>IF(A154="","",IF(M154="Não contatar","Não contatar",IF(OR(H154="Fechado",H154="Perdido"),"Encerrado",IF(K154="","Sem data",IF(K154&lt;TODAY(),"Atrasado",IF(K154=TODAY(),"Hoje","Agendado")))))))</f>
        <v/>
      </c>
      <c r="T154" s="18" t="n"/>
      <c r="U154" s="18" t="n"/>
      <c r="V154" s="18" t="n"/>
      <c r="W154" s="18" t="n"/>
      <c r="X154" s="19" t="n"/>
      <c r="Y154" s="18" t="n"/>
      <c r="Z154" s="20" t="n"/>
      <c r="AA154" s="20" t="n"/>
      <c r="AB154" s="21" t="n"/>
      <c r="AC154" s="21" t="n"/>
      <c r="AD154" s="22">
        <f>IF(A154="","",IF(OR(Y154="Descartado",M154="Não contatar",T154="Instagram",AG154="Não"),"Descartar",IF(OR(Y154&lt;&gt;"Verificado",U154="",W154="",X154="",Z154="",AA154="",AE154="",AF154="",AG154&lt;&gt;"Sim, confirmado",AH154=""),"Pendente",IF(AND(Z154&gt;=7,AA154&gt;=6),"Alta",IF(AND(Z154&gt;=5,AA154&gt;=4),"Média","Baixa")))))</f>
        <v/>
      </c>
      <c r="AE154" s="29" t="n"/>
      <c r="AF154" s="29" t="n"/>
      <c r="AG154" s="29" t="n"/>
      <c r="AH154" s="29" t="n"/>
      <c r="AI154" s="30">
        <f>IF(A154="","",IF(AE154="","País a verificar",IF(AE154="Brasil","Brasil","FORA DO BRASIL · "&amp;AE154)))</f>
        <v/>
      </c>
    </row>
    <row r="155" ht="28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7" t="n"/>
      <c r="K155" s="7" t="n"/>
      <c r="L155" s="6" t="n"/>
      <c r="M155" s="6" t="n"/>
      <c r="N155" s="8" t="n"/>
      <c r="O155" s="8" t="n"/>
      <c r="P155" s="7" t="n"/>
      <c r="Q155" s="6" t="n"/>
      <c r="R155" s="6" t="n"/>
      <c r="S155" s="9">
        <f>IF(A155="","",IF(M155="Não contatar","Não contatar",IF(OR(H155="Fechado",H155="Perdido"),"Encerrado",IF(K155="","Sem data",IF(K155&lt;TODAY(),"Atrasado",IF(K155=TODAY(),"Hoje","Agendado")))))))</f>
        <v/>
      </c>
      <c r="T155" s="18" t="n"/>
      <c r="U155" s="18" t="n"/>
      <c r="V155" s="18" t="n"/>
      <c r="W155" s="18" t="n"/>
      <c r="X155" s="19" t="n"/>
      <c r="Y155" s="18" t="n"/>
      <c r="Z155" s="20" t="n"/>
      <c r="AA155" s="20" t="n"/>
      <c r="AB155" s="21" t="n"/>
      <c r="AC155" s="21" t="n"/>
      <c r="AD155" s="22">
        <f>IF(A155="","",IF(OR(Y155="Descartado",M155="Não contatar",T155="Instagram",AG155="Não"),"Descartar",IF(OR(Y155&lt;&gt;"Verificado",U155="",W155="",X155="",Z155="",AA155="",AE155="",AF155="",AG155&lt;&gt;"Sim, confirmado",AH155=""),"Pendente",IF(AND(Z155&gt;=7,AA155&gt;=6),"Alta",IF(AND(Z155&gt;=5,AA155&gt;=4),"Média","Baixa")))))</f>
        <v/>
      </c>
      <c r="AE155" s="29" t="n"/>
      <c r="AF155" s="29" t="n"/>
      <c r="AG155" s="29" t="n"/>
      <c r="AH155" s="29" t="n"/>
      <c r="AI155" s="30">
        <f>IF(A155="","",IF(AE155="","País a verificar",IF(AE155="Brasil","Brasil","FORA DO BRASIL · "&amp;AE155)))</f>
        <v/>
      </c>
    </row>
    <row r="156" ht="28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7" t="n"/>
      <c r="K156" s="7" t="n"/>
      <c r="L156" s="6" t="n"/>
      <c r="M156" s="6" t="n"/>
      <c r="N156" s="8" t="n"/>
      <c r="O156" s="8" t="n"/>
      <c r="P156" s="7" t="n"/>
      <c r="Q156" s="6" t="n"/>
      <c r="R156" s="6" t="n"/>
      <c r="S156" s="9">
        <f>IF(A156="","",IF(M156="Não contatar","Não contatar",IF(OR(H156="Fechado",H156="Perdido"),"Encerrado",IF(K156="","Sem data",IF(K156&lt;TODAY(),"Atrasado",IF(K156=TODAY(),"Hoje","Agendado")))))))</f>
        <v/>
      </c>
      <c r="T156" s="18" t="n"/>
      <c r="U156" s="18" t="n"/>
      <c r="V156" s="18" t="n"/>
      <c r="W156" s="18" t="n"/>
      <c r="X156" s="19" t="n"/>
      <c r="Y156" s="18" t="n"/>
      <c r="Z156" s="20" t="n"/>
      <c r="AA156" s="20" t="n"/>
      <c r="AB156" s="21" t="n"/>
      <c r="AC156" s="21" t="n"/>
      <c r="AD156" s="22">
        <f>IF(A156="","",IF(OR(Y156="Descartado",M156="Não contatar",T156="Instagram",AG156="Não"),"Descartar",IF(OR(Y156&lt;&gt;"Verificado",U156="",W156="",X156="",Z156="",AA156="",AE156="",AF156="",AG156&lt;&gt;"Sim, confirmado",AH156=""),"Pendente",IF(AND(Z156&gt;=7,AA156&gt;=6),"Alta",IF(AND(Z156&gt;=5,AA156&gt;=4),"Média","Baixa")))))</f>
        <v/>
      </c>
      <c r="AE156" s="29" t="n"/>
      <c r="AF156" s="29" t="n"/>
      <c r="AG156" s="29" t="n"/>
      <c r="AH156" s="29" t="n"/>
      <c r="AI156" s="30">
        <f>IF(A156="","",IF(AE156="","País a verificar",IF(AE156="Brasil","Brasil","FORA DO BRASIL · "&amp;AE156)))</f>
        <v/>
      </c>
    </row>
    <row r="157" ht="28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7" t="n"/>
      <c r="K157" s="7" t="n"/>
      <c r="L157" s="6" t="n"/>
      <c r="M157" s="6" t="n"/>
      <c r="N157" s="8" t="n"/>
      <c r="O157" s="8" t="n"/>
      <c r="P157" s="7" t="n"/>
      <c r="Q157" s="6" t="n"/>
      <c r="R157" s="6" t="n"/>
      <c r="S157" s="9">
        <f>IF(A157="","",IF(M157="Não contatar","Não contatar",IF(OR(H157="Fechado",H157="Perdido"),"Encerrado",IF(K157="","Sem data",IF(K157&lt;TODAY(),"Atrasado",IF(K157=TODAY(),"Hoje","Agendado")))))))</f>
        <v/>
      </c>
      <c r="T157" s="18" t="n"/>
      <c r="U157" s="18" t="n"/>
      <c r="V157" s="18" t="n"/>
      <c r="W157" s="18" t="n"/>
      <c r="X157" s="19" t="n"/>
      <c r="Y157" s="18" t="n"/>
      <c r="Z157" s="20" t="n"/>
      <c r="AA157" s="20" t="n"/>
      <c r="AB157" s="21" t="n"/>
      <c r="AC157" s="21" t="n"/>
      <c r="AD157" s="22">
        <f>IF(A157="","",IF(OR(Y157="Descartado",M157="Não contatar",T157="Instagram",AG157="Não"),"Descartar",IF(OR(Y157&lt;&gt;"Verificado",U157="",W157="",X157="",Z157="",AA157="",AE157="",AF157="",AG157&lt;&gt;"Sim, confirmado",AH157=""),"Pendente",IF(AND(Z157&gt;=7,AA157&gt;=6),"Alta",IF(AND(Z157&gt;=5,AA157&gt;=4),"Média","Baixa")))))</f>
        <v/>
      </c>
      <c r="AE157" s="29" t="n"/>
      <c r="AF157" s="29" t="n"/>
      <c r="AG157" s="29" t="n"/>
      <c r="AH157" s="29" t="n"/>
      <c r="AI157" s="30">
        <f>IF(A157="","",IF(AE157="","País a verificar",IF(AE157="Brasil","Brasil","FORA DO BRASIL · "&amp;AE157)))</f>
        <v/>
      </c>
    </row>
    <row r="158" ht="28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7" t="n"/>
      <c r="K158" s="7" t="n"/>
      <c r="L158" s="6" t="n"/>
      <c r="M158" s="6" t="n"/>
      <c r="N158" s="8" t="n"/>
      <c r="O158" s="8" t="n"/>
      <c r="P158" s="7" t="n"/>
      <c r="Q158" s="6" t="n"/>
      <c r="R158" s="6" t="n"/>
      <c r="S158" s="9">
        <f>IF(A158="","",IF(M158="Não contatar","Não contatar",IF(OR(H158="Fechado",H158="Perdido"),"Encerrado",IF(K158="","Sem data",IF(K158&lt;TODAY(),"Atrasado",IF(K158=TODAY(),"Hoje","Agendado")))))))</f>
        <v/>
      </c>
      <c r="T158" s="18" t="n"/>
      <c r="U158" s="18" t="n"/>
      <c r="V158" s="18" t="n"/>
      <c r="W158" s="18" t="n"/>
      <c r="X158" s="19" t="n"/>
      <c r="Y158" s="18" t="n"/>
      <c r="Z158" s="20" t="n"/>
      <c r="AA158" s="20" t="n"/>
      <c r="AB158" s="21" t="n"/>
      <c r="AC158" s="21" t="n"/>
      <c r="AD158" s="22">
        <f>IF(A158="","",IF(OR(Y158="Descartado",M158="Não contatar",T158="Instagram",AG158="Não"),"Descartar",IF(OR(Y158&lt;&gt;"Verificado",U158="",W158="",X158="",Z158="",AA158="",AE158="",AF158="",AG158&lt;&gt;"Sim, confirmado",AH158=""),"Pendente",IF(AND(Z158&gt;=7,AA158&gt;=6),"Alta",IF(AND(Z158&gt;=5,AA158&gt;=4),"Média","Baixa")))))</f>
        <v/>
      </c>
      <c r="AE158" s="29" t="n"/>
      <c r="AF158" s="29" t="n"/>
      <c r="AG158" s="29" t="n"/>
      <c r="AH158" s="29" t="n"/>
      <c r="AI158" s="30">
        <f>IF(A158="","",IF(AE158="","País a verificar",IF(AE158="Brasil","Brasil","FORA DO BRASIL · "&amp;AE158)))</f>
        <v/>
      </c>
    </row>
    <row r="159" ht="28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7" t="n"/>
      <c r="K159" s="7" t="n"/>
      <c r="L159" s="6" t="n"/>
      <c r="M159" s="6" t="n"/>
      <c r="N159" s="8" t="n"/>
      <c r="O159" s="8" t="n"/>
      <c r="P159" s="7" t="n"/>
      <c r="Q159" s="6" t="n"/>
      <c r="R159" s="6" t="n"/>
      <c r="S159" s="9">
        <f>IF(A159="","",IF(M159="Não contatar","Não contatar",IF(OR(H159="Fechado",H159="Perdido"),"Encerrado",IF(K159="","Sem data",IF(K159&lt;TODAY(),"Atrasado",IF(K159=TODAY(),"Hoje","Agendado")))))))</f>
        <v/>
      </c>
      <c r="T159" s="18" t="n"/>
      <c r="U159" s="18" t="n"/>
      <c r="V159" s="18" t="n"/>
      <c r="W159" s="18" t="n"/>
      <c r="X159" s="19" t="n"/>
      <c r="Y159" s="18" t="n"/>
      <c r="Z159" s="20" t="n"/>
      <c r="AA159" s="20" t="n"/>
      <c r="AB159" s="21" t="n"/>
      <c r="AC159" s="21" t="n"/>
      <c r="AD159" s="22">
        <f>IF(A159="","",IF(OR(Y159="Descartado",M159="Não contatar",T159="Instagram",AG159="Não"),"Descartar",IF(OR(Y159&lt;&gt;"Verificado",U159="",W159="",X159="",Z159="",AA159="",AE159="",AF159="",AG159&lt;&gt;"Sim, confirmado",AH159=""),"Pendente",IF(AND(Z159&gt;=7,AA159&gt;=6),"Alta",IF(AND(Z159&gt;=5,AA159&gt;=4),"Média","Baixa")))))</f>
        <v/>
      </c>
      <c r="AE159" s="29" t="n"/>
      <c r="AF159" s="29" t="n"/>
      <c r="AG159" s="29" t="n"/>
      <c r="AH159" s="29" t="n"/>
      <c r="AI159" s="30">
        <f>IF(A159="","",IF(AE159="","País a verificar",IF(AE159="Brasil","Brasil","FORA DO BRASIL · "&amp;AE159)))</f>
        <v/>
      </c>
    </row>
    <row r="160" ht="28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7" t="n"/>
      <c r="K160" s="7" t="n"/>
      <c r="L160" s="6" t="n"/>
      <c r="M160" s="6" t="n"/>
      <c r="N160" s="8" t="n"/>
      <c r="O160" s="8" t="n"/>
      <c r="P160" s="7" t="n"/>
      <c r="Q160" s="6" t="n"/>
      <c r="R160" s="6" t="n"/>
      <c r="S160" s="9">
        <f>IF(A160="","",IF(M160="Não contatar","Não contatar",IF(OR(H160="Fechado",H160="Perdido"),"Encerrado",IF(K160="","Sem data",IF(K160&lt;TODAY(),"Atrasado",IF(K160=TODAY(),"Hoje","Agendado")))))))</f>
        <v/>
      </c>
      <c r="T160" s="18" t="n"/>
      <c r="U160" s="18" t="n"/>
      <c r="V160" s="18" t="n"/>
      <c r="W160" s="18" t="n"/>
      <c r="X160" s="19" t="n"/>
      <c r="Y160" s="18" t="n"/>
      <c r="Z160" s="20" t="n"/>
      <c r="AA160" s="20" t="n"/>
      <c r="AB160" s="21" t="n"/>
      <c r="AC160" s="21" t="n"/>
      <c r="AD160" s="22">
        <f>IF(A160="","",IF(OR(Y160="Descartado",M160="Não contatar",T160="Instagram",AG160="Não"),"Descartar",IF(OR(Y160&lt;&gt;"Verificado",U160="",W160="",X160="",Z160="",AA160="",AE160="",AF160="",AG160&lt;&gt;"Sim, confirmado",AH160=""),"Pendente",IF(AND(Z160&gt;=7,AA160&gt;=6),"Alta",IF(AND(Z160&gt;=5,AA160&gt;=4),"Média","Baixa")))))</f>
        <v/>
      </c>
      <c r="AE160" s="29" t="n"/>
      <c r="AF160" s="29" t="n"/>
      <c r="AG160" s="29" t="n"/>
      <c r="AH160" s="29" t="n"/>
      <c r="AI160" s="30">
        <f>IF(A160="","",IF(AE160="","País a verificar",IF(AE160="Brasil","Brasil","FORA DO BRASIL · "&amp;AE160)))</f>
        <v/>
      </c>
    </row>
    <row r="161" ht="28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7" t="n"/>
      <c r="K161" s="7" t="n"/>
      <c r="L161" s="6" t="n"/>
      <c r="M161" s="6" t="n"/>
      <c r="N161" s="8" t="n"/>
      <c r="O161" s="8" t="n"/>
      <c r="P161" s="7" t="n"/>
      <c r="Q161" s="6" t="n"/>
      <c r="R161" s="6" t="n"/>
      <c r="S161" s="9">
        <f>IF(A161="","",IF(M161="Não contatar","Não contatar",IF(OR(H161="Fechado",H161="Perdido"),"Encerrado",IF(K161="","Sem data",IF(K161&lt;TODAY(),"Atrasado",IF(K161=TODAY(),"Hoje","Agendado")))))))</f>
        <v/>
      </c>
      <c r="T161" s="18" t="n"/>
      <c r="U161" s="18" t="n"/>
      <c r="V161" s="18" t="n"/>
      <c r="W161" s="18" t="n"/>
      <c r="X161" s="19" t="n"/>
      <c r="Y161" s="18" t="n"/>
      <c r="Z161" s="20" t="n"/>
      <c r="AA161" s="20" t="n"/>
      <c r="AB161" s="21" t="n"/>
      <c r="AC161" s="21" t="n"/>
      <c r="AD161" s="22">
        <f>IF(A161="","",IF(OR(Y161="Descartado",M161="Não contatar",T161="Instagram",AG161="Não"),"Descartar",IF(OR(Y161&lt;&gt;"Verificado",U161="",W161="",X161="",Z161="",AA161="",AE161="",AF161="",AG161&lt;&gt;"Sim, confirmado",AH161=""),"Pendente",IF(AND(Z161&gt;=7,AA161&gt;=6),"Alta",IF(AND(Z161&gt;=5,AA161&gt;=4),"Média","Baixa")))))</f>
        <v/>
      </c>
      <c r="AE161" s="29" t="n"/>
      <c r="AF161" s="29" t="n"/>
      <c r="AG161" s="29" t="n"/>
      <c r="AH161" s="29" t="n"/>
      <c r="AI161" s="30">
        <f>IF(A161="","",IF(AE161="","País a verificar",IF(AE161="Brasil","Brasil","FORA DO BRASIL · "&amp;AE161)))</f>
        <v/>
      </c>
    </row>
    <row r="162" ht="28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7" t="n"/>
      <c r="K162" s="7" t="n"/>
      <c r="L162" s="6" t="n"/>
      <c r="M162" s="6" t="n"/>
      <c r="N162" s="8" t="n"/>
      <c r="O162" s="8" t="n"/>
      <c r="P162" s="7" t="n"/>
      <c r="Q162" s="6" t="n"/>
      <c r="R162" s="6" t="n"/>
      <c r="S162" s="9">
        <f>IF(A162="","",IF(M162="Não contatar","Não contatar",IF(OR(H162="Fechado",H162="Perdido"),"Encerrado",IF(K162="","Sem data",IF(K162&lt;TODAY(),"Atrasado",IF(K162=TODAY(),"Hoje","Agendado")))))))</f>
        <v/>
      </c>
      <c r="T162" s="18" t="n"/>
      <c r="U162" s="18" t="n"/>
      <c r="V162" s="18" t="n"/>
      <c r="W162" s="18" t="n"/>
      <c r="X162" s="19" t="n"/>
      <c r="Y162" s="18" t="n"/>
      <c r="Z162" s="20" t="n"/>
      <c r="AA162" s="20" t="n"/>
      <c r="AB162" s="21" t="n"/>
      <c r="AC162" s="21" t="n"/>
      <c r="AD162" s="22">
        <f>IF(A162="","",IF(OR(Y162="Descartado",M162="Não contatar",T162="Instagram",AG162="Não"),"Descartar",IF(OR(Y162&lt;&gt;"Verificado",U162="",W162="",X162="",Z162="",AA162="",AE162="",AF162="",AG162&lt;&gt;"Sim, confirmado",AH162=""),"Pendente",IF(AND(Z162&gt;=7,AA162&gt;=6),"Alta",IF(AND(Z162&gt;=5,AA162&gt;=4),"Média","Baixa")))))</f>
        <v/>
      </c>
      <c r="AE162" s="29" t="n"/>
      <c r="AF162" s="29" t="n"/>
      <c r="AG162" s="29" t="n"/>
      <c r="AH162" s="29" t="n"/>
      <c r="AI162" s="30">
        <f>IF(A162="","",IF(AE162="","País a verificar",IF(AE162="Brasil","Brasil","FORA DO BRASIL · "&amp;AE162)))</f>
        <v/>
      </c>
    </row>
    <row r="163" ht="28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7" t="n"/>
      <c r="K163" s="7" t="n"/>
      <c r="L163" s="6" t="n"/>
      <c r="M163" s="6" t="n"/>
      <c r="N163" s="8" t="n"/>
      <c r="O163" s="8" t="n"/>
      <c r="P163" s="7" t="n"/>
      <c r="Q163" s="6" t="n"/>
      <c r="R163" s="6" t="n"/>
      <c r="S163" s="9">
        <f>IF(A163="","",IF(M163="Não contatar","Não contatar",IF(OR(H163="Fechado",H163="Perdido"),"Encerrado",IF(K163="","Sem data",IF(K163&lt;TODAY(),"Atrasado",IF(K163=TODAY(),"Hoje","Agendado")))))))</f>
        <v/>
      </c>
      <c r="T163" s="18" t="n"/>
      <c r="U163" s="18" t="n"/>
      <c r="V163" s="18" t="n"/>
      <c r="W163" s="18" t="n"/>
      <c r="X163" s="19" t="n"/>
      <c r="Y163" s="18" t="n"/>
      <c r="Z163" s="20" t="n"/>
      <c r="AA163" s="20" t="n"/>
      <c r="AB163" s="21" t="n"/>
      <c r="AC163" s="21" t="n"/>
      <c r="AD163" s="22">
        <f>IF(A163="","",IF(OR(Y163="Descartado",M163="Não contatar",T163="Instagram",AG163="Não"),"Descartar",IF(OR(Y163&lt;&gt;"Verificado",U163="",W163="",X163="",Z163="",AA163="",AE163="",AF163="",AG163&lt;&gt;"Sim, confirmado",AH163=""),"Pendente",IF(AND(Z163&gt;=7,AA163&gt;=6),"Alta",IF(AND(Z163&gt;=5,AA163&gt;=4),"Média","Baixa")))))</f>
        <v/>
      </c>
      <c r="AE163" s="29" t="n"/>
      <c r="AF163" s="29" t="n"/>
      <c r="AG163" s="29" t="n"/>
      <c r="AH163" s="29" t="n"/>
      <c r="AI163" s="30">
        <f>IF(A163="","",IF(AE163="","País a verificar",IF(AE163="Brasil","Brasil","FORA DO BRASIL · "&amp;AE163)))</f>
        <v/>
      </c>
    </row>
    <row r="164" ht="28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7" t="n"/>
      <c r="K164" s="7" t="n"/>
      <c r="L164" s="6" t="n"/>
      <c r="M164" s="6" t="n"/>
      <c r="N164" s="8" t="n"/>
      <c r="O164" s="8" t="n"/>
      <c r="P164" s="7" t="n"/>
      <c r="Q164" s="6" t="n"/>
      <c r="R164" s="6" t="n"/>
      <c r="S164" s="9">
        <f>IF(A164="","",IF(M164="Não contatar","Não contatar",IF(OR(H164="Fechado",H164="Perdido"),"Encerrado",IF(K164="","Sem data",IF(K164&lt;TODAY(),"Atrasado",IF(K164=TODAY(),"Hoje","Agendado")))))))</f>
        <v/>
      </c>
      <c r="T164" s="18" t="n"/>
      <c r="U164" s="18" t="n"/>
      <c r="V164" s="18" t="n"/>
      <c r="W164" s="18" t="n"/>
      <c r="X164" s="19" t="n"/>
      <c r="Y164" s="18" t="n"/>
      <c r="Z164" s="20" t="n"/>
      <c r="AA164" s="20" t="n"/>
      <c r="AB164" s="21" t="n"/>
      <c r="AC164" s="21" t="n"/>
      <c r="AD164" s="22">
        <f>IF(A164="","",IF(OR(Y164="Descartado",M164="Não contatar",T164="Instagram",AG164="Não"),"Descartar",IF(OR(Y164&lt;&gt;"Verificado",U164="",W164="",X164="",Z164="",AA164="",AE164="",AF164="",AG164&lt;&gt;"Sim, confirmado",AH164=""),"Pendente",IF(AND(Z164&gt;=7,AA164&gt;=6),"Alta",IF(AND(Z164&gt;=5,AA164&gt;=4),"Média","Baixa")))))</f>
        <v/>
      </c>
      <c r="AE164" s="29" t="n"/>
      <c r="AF164" s="29" t="n"/>
      <c r="AG164" s="29" t="n"/>
      <c r="AH164" s="29" t="n"/>
      <c r="AI164" s="30">
        <f>IF(A164="","",IF(AE164="","País a verificar",IF(AE164="Brasil","Brasil","FORA DO BRASIL · "&amp;AE164)))</f>
        <v/>
      </c>
    </row>
    <row r="165" ht="28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7" t="n"/>
      <c r="K165" s="7" t="n"/>
      <c r="L165" s="6" t="n"/>
      <c r="M165" s="6" t="n"/>
      <c r="N165" s="8" t="n"/>
      <c r="O165" s="8" t="n"/>
      <c r="P165" s="7" t="n"/>
      <c r="Q165" s="6" t="n"/>
      <c r="R165" s="6" t="n"/>
      <c r="S165" s="9">
        <f>IF(A165="","",IF(M165="Não contatar","Não contatar",IF(OR(H165="Fechado",H165="Perdido"),"Encerrado",IF(K165="","Sem data",IF(K165&lt;TODAY(),"Atrasado",IF(K165=TODAY(),"Hoje","Agendado")))))))</f>
        <v/>
      </c>
      <c r="T165" s="18" t="n"/>
      <c r="U165" s="18" t="n"/>
      <c r="V165" s="18" t="n"/>
      <c r="W165" s="18" t="n"/>
      <c r="X165" s="19" t="n"/>
      <c r="Y165" s="18" t="n"/>
      <c r="Z165" s="20" t="n"/>
      <c r="AA165" s="20" t="n"/>
      <c r="AB165" s="21" t="n"/>
      <c r="AC165" s="21" t="n"/>
      <c r="AD165" s="22">
        <f>IF(A165="","",IF(OR(Y165="Descartado",M165="Não contatar",T165="Instagram",AG165="Não"),"Descartar",IF(OR(Y165&lt;&gt;"Verificado",U165="",W165="",X165="",Z165="",AA165="",AE165="",AF165="",AG165&lt;&gt;"Sim, confirmado",AH165=""),"Pendente",IF(AND(Z165&gt;=7,AA165&gt;=6),"Alta",IF(AND(Z165&gt;=5,AA165&gt;=4),"Média","Baixa")))))</f>
        <v/>
      </c>
      <c r="AE165" s="29" t="n"/>
      <c r="AF165" s="29" t="n"/>
      <c r="AG165" s="29" t="n"/>
      <c r="AH165" s="29" t="n"/>
      <c r="AI165" s="30">
        <f>IF(A165="","",IF(AE165="","País a verificar",IF(AE165="Brasil","Brasil","FORA DO BRASIL · "&amp;AE165)))</f>
        <v/>
      </c>
    </row>
    <row r="166" ht="28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7" t="n"/>
      <c r="K166" s="7" t="n"/>
      <c r="L166" s="6" t="n"/>
      <c r="M166" s="6" t="n"/>
      <c r="N166" s="8" t="n"/>
      <c r="O166" s="8" t="n"/>
      <c r="P166" s="7" t="n"/>
      <c r="Q166" s="6" t="n"/>
      <c r="R166" s="6" t="n"/>
      <c r="S166" s="9">
        <f>IF(A166="","",IF(M166="Não contatar","Não contatar",IF(OR(H166="Fechado",H166="Perdido"),"Encerrado",IF(K166="","Sem data",IF(K166&lt;TODAY(),"Atrasado",IF(K166=TODAY(),"Hoje","Agendado")))))))</f>
        <v/>
      </c>
      <c r="T166" s="18" t="n"/>
      <c r="U166" s="18" t="n"/>
      <c r="V166" s="18" t="n"/>
      <c r="W166" s="18" t="n"/>
      <c r="X166" s="19" t="n"/>
      <c r="Y166" s="18" t="n"/>
      <c r="Z166" s="20" t="n"/>
      <c r="AA166" s="20" t="n"/>
      <c r="AB166" s="21" t="n"/>
      <c r="AC166" s="21" t="n"/>
      <c r="AD166" s="22">
        <f>IF(A166="","",IF(OR(Y166="Descartado",M166="Não contatar",T166="Instagram",AG166="Não"),"Descartar",IF(OR(Y166&lt;&gt;"Verificado",U166="",W166="",X166="",Z166="",AA166="",AE166="",AF166="",AG166&lt;&gt;"Sim, confirmado",AH166=""),"Pendente",IF(AND(Z166&gt;=7,AA166&gt;=6),"Alta",IF(AND(Z166&gt;=5,AA166&gt;=4),"Média","Baixa")))))</f>
        <v/>
      </c>
      <c r="AE166" s="29" t="n"/>
      <c r="AF166" s="29" t="n"/>
      <c r="AG166" s="29" t="n"/>
      <c r="AH166" s="29" t="n"/>
      <c r="AI166" s="30">
        <f>IF(A166="","",IF(AE166="","País a verificar",IF(AE166="Brasil","Brasil","FORA DO BRASIL · "&amp;AE166)))</f>
        <v/>
      </c>
    </row>
    <row r="167" ht="28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7" t="n"/>
      <c r="K167" s="7" t="n"/>
      <c r="L167" s="6" t="n"/>
      <c r="M167" s="6" t="n"/>
      <c r="N167" s="8" t="n"/>
      <c r="O167" s="8" t="n"/>
      <c r="P167" s="7" t="n"/>
      <c r="Q167" s="6" t="n"/>
      <c r="R167" s="6" t="n"/>
      <c r="S167" s="9">
        <f>IF(A167="","",IF(M167="Não contatar","Não contatar",IF(OR(H167="Fechado",H167="Perdido"),"Encerrado",IF(K167="","Sem data",IF(K167&lt;TODAY(),"Atrasado",IF(K167=TODAY(),"Hoje","Agendado")))))))</f>
        <v/>
      </c>
      <c r="T167" s="18" t="n"/>
      <c r="U167" s="18" t="n"/>
      <c r="V167" s="18" t="n"/>
      <c r="W167" s="18" t="n"/>
      <c r="X167" s="19" t="n"/>
      <c r="Y167" s="18" t="n"/>
      <c r="Z167" s="20" t="n"/>
      <c r="AA167" s="20" t="n"/>
      <c r="AB167" s="21" t="n"/>
      <c r="AC167" s="21" t="n"/>
      <c r="AD167" s="22">
        <f>IF(A167="","",IF(OR(Y167="Descartado",M167="Não contatar",T167="Instagram",AG167="Não"),"Descartar",IF(OR(Y167&lt;&gt;"Verificado",U167="",W167="",X167="",Z167="",AA167="",AE167="",AF167="",AG167&lt;&gt;"Sim, confirmado",AH167=""),"Pendente",IF(AND(Z167&gt;=7,AA167&gt;=6),"Alta",IF(AND(Z167&gt;=5,AA167&gt;=4),"Média","Baixa")))))</f>
        <v/>
      </c>
      <c r="AE167" s="29" t="n"/>
      <c r="AF167" s="29" t="n"/>
      <c r="AG167" s="29" t="n"/>
      <c r="AH167" s="29" t="n"/>
      <c r="AI167" s="30">
        <f>IF(A167="","",IF(AE167="","País a verificar",IF(AE167="Brasil","Brasil","FORA DO BRASIL · "&amp;AE167)))</f>
        <v/>
      </c>
    </row>
    <row r="168" ht="28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7" t="n"/>
      <c r="K168" s="7" t="n"/>
      <c r="L168" s="6" t="n"/>
      <c r="M168" s="6" t="n"/>
      <c r="N168" s="8" t="n"/>
      <c r="O168" s="8" t="n"/>
      <c r="P168" s="7" t="n"/>
      <c r="Q168" s="6" t="n"/>
      <c r="R168" s="6" t="n"/>
      <c r="S168" s="9">
        <f>IF(A168="","",IF(M168="Não contatar","Não contatar",IF(OR(H168="Fechado",H168="Perdido"),"Encerrado",IF(K168="","Sem data",IF(K168&lt;TODAY(),"Atrasado",IF(K168=TODAY(),"Hoje","Agendado")))))))</f>
        <v/>
      </c>
      <c r="T168" s="18" t="n"/>
      <c r="U168" s="18" t="n"/>
      <c r="V168" s="18" t="n"/>
      <c r="W168" s="18" t="n"/>
      <c r="X168" s="19" t="n"/>
      <c r="Y168" s="18" t="n"/>
      <c r="Z168" s="20" t="n"/>
      <c r="AA168" s="20" t="n"/>
      <c r="AB168" s="21" t="n"/>
      <c r="AC168" s="21" t="n"/>
      <c r="AD168" s="22">
        <f>IF(A168="","",IF(OR(Y168="Descartado",M168="Não contatar",T168="Instagram",AG168="Não"),"Descartar",IF(OR(Y168&lt;&gt;"Verificado",U168="",W168="",X168="",Z168="",AA168="",AE168="",AF168="",AG168&lt;&gt;"Sim, confirmado",AH168=""),"Pendente",IF(AND(Z168&gt;=7,AA168&gt;=6),"Alta",IF(AND(Z168&gt;=5,AA168&gt;=4),"Média","Baixa")))))</f>
        <v/>
      </c>
      <c r="AE168" s="29" t="n"/>
      <c r="AF168" s="29" t="n"/>
      <c r="AG168" s="29" t="n"/>
      <c r="AH168" s="29" t="n"/>
      <c r="AI168" s="30">
        <f>IF(A168="","",IF(AE168="","País a verificar",IF(AE168="Brasil","Brasil","FORA DO BRASIL · "&amp;AE168)))</f>
        <v/>
      </c>
    </row>
    <row r="169" ht="28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7" t="n"/>
      <c r="K169" s="7" t="n"/>
      <c r="L169" s="6" t="n"/>
      <c r="M169" s="6" t="n"/>
      <c r="N169" s="8" t="n"/>
      <c r="O169" s="8" t="n"/>
      <c r="P169" s="7" t="n"/>
      <c r="Q169" s="6" t="n"/>
      <c r="R169" s="6" t="n"/>
      <c r="S169" s="9">
        <f>IF(A169="","",IF(M169="Não contatar","Não contatar",IF(OR(H169="Fechado",H169="Perdido"),"Encerrado",IF(K169="","Sem data",IF(K169&lt;TODAY(),"Atrasado",IF(K169=TODAY(),"Hoje","Agendado")))))))</f>
        <v/>
      </c>
      <c r="T169" s="18" t="n"/>
      <c r="U169" s="18" t="n"/>
      <c r="V169" s="18" t="n"/>
      <c r="W169" s="18" t="n"/>
      <c r="X169" s="19" t="n"/>
      <c r="Y169" s="18" t="n"/>
      <c r="Z169" s="20" t="n"/>
      <c r="AA169" s="20" t="n"/>
      <c r="AB169" s="21" t="n"/>
      <c r="AC169" s="21" t="n"/>
      <c r="AD169" s="22">
        <f>IF(A169="","",IF(OR(Y169="Descartado",M169="Não contatar",T169="Instagram",AG169="Não"),"Descartar",IF(OR(Y169&lt;&gt;"Verificado",U169="",W169="",X169="",Z169="",AA169="",AE169="",AF169="",AG169&lt;&gt;"Sim, confirmado",AH169=""),"Pendente",IF(AND(Z169&gt;=7,AA169&gt;=6),"Alta",IF(AND(Z169&gt;=5,AA169&gt;=4),"Média","Baixa")))))</f>
        <v/>
      </c>
      <c r="AE169" s="29" t="n"/>
      <c r="AF169" s="29" t="n"/>
      <c r="AG169" s="29" t="n"/>
      <c r="AH169" s="29" t="n"/>
      <c r="AI169" s="30">
        <f>IF(A169="","",IF(AE169="","País a verificar",IF(AE169="Brasil","Brasil","FORA DO BRASIL · "&amp;AE169)))</f>
        <v/>
      </c>
    </row>
    <row r="170" ht="28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7" t="n"/>
      <c r="K170" s="7" t="n"/>
      <c r="L170" s="6" t="n"/>
      <c r="M170" s="6" t="n"/>
      <c r="N170" s="8" t="n"/>
      <c r="O170" s="8" t="n"/>
      <c r="P170" s="7" t="n"/>
      <c r="Q170" s="6" t="n"/>
      <c r="R170" s="6" t="n"/>
      <c r="S170" s="9">
        <f>IF(A170="","",IF(M170="Não contatar","Não contatar",IF(OR(H170="Fechado",H170="Perdido"),"Encerrado",IF(K170="","Sem data",IF(K170&lt;TODAY(),"Atrasado",IF(K170=TODAY(),"Hoje","Agendado")))))))</f>
        <v/>
      </c>
      <c r="T170" s="18" t="n"/>
      <c r="U170" s="18" t="n"/>
      <c r="V170" s="18" t="n"/>
      <c r="W170" s="18" t="n"/>
      <c r="X170" s="19" t="n"/>
      <c r="Y170" s="18" t="n"/>
      <c r="Z170" s="20" t="n"/>
      <c r="AA170" s="20" t="n"/>
      <c r="AB170" s="21" t="n"/>
      <c r="AC170" s="21" t="n"/>
      <c r="AD170" s="22">
        <f>IF(A170="","",IF(OR(Y170="Descartado",M170="Não contatar",T170="Instagram",AG170="Não"),"Descartar",IF(OR(Y170&lt;&gt;"Verificado",U170="",W170="",X170="",Z170="",AA170="",AE170="",AF170="",AG170&lt;&gt;"Sim, confirmado",AH170=""),"Pendente",IF(AND(Z170&gt;=7,AA170&gt;=6),"Alta",IF(AND(Z170&gt;=5,AA170&gt;=4),"Média","Baixa")))))</f>
        <v/>
      </c>
      <c r="AE170" s="29" t="n"/>
      <c r="AF170" s="29" t="n"/>
      <c r="AG170" s="29" t="n"/>
      <c r="AH170" s="29" t="n"/>
      <c r="AI170" s="30">
        <f>IF(A170="","",IF(AE170="","País a verificar",IF(AE170="Brasil","Brasil","FORA DO BRASIL · "&amp;AE170)))</f>
        <v/>
      </c>
    </row>
    <row r="171" ht="28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7" t="n"/>
      <c r="K171" s="7" t="n"/>
      <c r="L171" s="6" t="n"/>
      <c r="M171" s="6" t="n"/>
      <c r="N171" s="8" t="n"/>
      <c r="O171" s="8" t="n"/>
      <c r="P171" s="7" t="n"/>
      <c r="Q171" s="6" t="n"/>
      <c r="R171" s="6" t="n"/>
      <c r="S171" s="9">
        <f>IF(A171="","",IF(M171="Não contatar","Não contatar",IF(OR(H171="Fechado",H171="Perdido"),"Encerrado",IF(K171="","Sem data",IF(K171&lt;TODAY(),"Atrasado",IF(K171=TODAY(),"Hoje","Agendado")))))))</f>
        <v/>
      </c>
      <c r="T171" s="18" t="n"/>
      <c r="U171" s="18" t="n"/>
      <c r="V171" s="18" t="n"/>
      <c r="W171" s="18" t="n"/>
      <c r="X171" s="19" t="n"/>
      <c r="Y171" s="18" t="n"/>
      <c r="Z171" s="20" t="n"/>
      <c r="AA171" s="20" t="n"/>
      <c r="AB171" s="21" t="n"/>
      <c r="AC171" s="21" t="n"/>
      <c r="AD171" s="22">
        <f>IF(A171="","",IF(OR(Y171="Descartado",M171="Não contatar",T171="Instagram",AG171="Não"),"Descartar",IF(OR(Y171&lt;&gt;"Verificado",U171="",W171="",X171="",Z171="",AA171="",AE171="",AF171="",AG171&lt;&gt;"Sim, confirmado",AH171=""),"Pendente",IF(AND(Z171&gt;=7,AA171&gt;=6),"Alta",IF(AND(Z171&gt;=5,AA171&gt;=4),"Média","Baixa")))))</f>
        <v/>
      </c>
      <c r="AE171" s="29" t="n"/>
      <c r="AF171" s="29" t="n"/>
      <c r="AG171" s="29" t="n"/>
      <c r="AH171" s="29" t="n"/>
      <c r="AI171" s="30">
        <f>IF(A171="","",IF(AE171="","País a verificar",IF(AE171="Brasil","Brasil","FORA DO BRASIL · "&amp;AE171)))</f>
        <v/>
      </c>
    </row>
    <row r="172" ht="28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7" t="n"/>
      <c r="K172" s="7" t="n"/>
      <c r="L172" s="6" t="n"/>
      <c r="M172" s="6" t="n"/>
      <c r="N172" s="8" t="n"/>
      <c r="O172" s="8" t="n"/>
      <c r="P172" s="7" t="n"/>
      <c r="Q172" s="6" t="n"/>
      <c r="R172" s="6" t="n"/>
      <c r="S172" s="9">
        <f>IF(A172="","",IF(M172="Não contatar","Não contatar",IF(OR(H172="Fechado",H172="Perdido"),"Encerrado",IF(K172="","Sem data",IF(K172&lt;TODAY(),"Atrasado",IF(K172=TODAY(),"Hoje","Agendado")))))))</f>
        <v/>
      </c>
      <c r="T172" s="18" t="n"/>
      <c r="U172" s="18" t="n"/>
      <c r="V172" s="18" t="n"/>
      <c r="W172" s="18" t="n"/>
      <c r="X172" s="19" t="n"/>
      <c r="Y172" s="18" t="n"/>
      <c r="Z172" s="20" t="n"/>
      <c r="AA172" s="20" t="n"/>
      <c r="AB172" s="21" t="n"/>
      <c r="AC172" s="21" t="n"/>
      <c r="AD172" s="22">
        <f>IF(A172="","",IF(OR(Y172="Descartado",M172="Não contatar",T172="Instagram",AG172="Não"),"Descartar",IF(OR(Y172&lt;&gt;"Verificado",U172="",W172="",X172="",Z172="",AA172="",AE172="",AF172="",AG172&lt;&gt;"Sim, confirmado",AH172=""),"Pendente",IF(AND(Z172&gt;=7,AA172&gt;=6),"Alta",IF(AND(Z172&gt;=5,AA172&gt;=4),"Média","Baixa")))))</f>
        <v/>
      </c>
      <c r="AE172" s="29" t="n"/>
      <c r="AF172" s="29" t="n"/>
      <c r="AG172" s="29" t="n"/>
      <c r="AH172" s="29" t="n"/>
      <c r="AI172" s="30">
        <f>IF(A172="","",IF(AE172="","País a verificar",IF(AE172="Brasil","Brasil","FORA DO BRASIL · "&amp;AE172)))</f>
        <v/>
      </c>
    </row>
    <row r="173" ht="28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7" t="n"/>
      <c r="K173" s="7" t="n"/>
      <c r="L173" s="6" t="n"/>
      <c r="M173" s="6" t="n"/>
      <c r="N173" s="8" t="n"/>
      <c r="O173" s="8" t="n"/>
      <c r="P173" s="7" t="n"/>
      <c r="Q173" s="6" t="n"/>
      <c r="R173" s="6" t="n"/>
      <c r="S173" s="9">
        <f>IF(A173="","",IF(M173="Não contatar","Não contatar",IF(OR(H173="Fechado",H173="Perdido"),"Encerrado",IF(K173="","Sem data",IF(K173&lt;TODAY(),"Atrasado",IF(K173=TODAY(),"Hoje","Agendado")))))))</f>
        <v/>
      </c>
      <c r="T173" s="18" t="n"/>
      <c r="U173" s="18" t="n"/>
      <c r="V173" s="18" t="n"/>
      <c r="W173" s="18" t="n"/>
      <c r="X173" s="19" t="n"/>
      <c r="Y173" s="18" t="n"/>
      <c r="Z173" s="20" t="n"/>
      <c r="AA173" s="20" t="n"/>
      <c r="AB173" s="21" t="n"/>
      <c r="AC173" s="21" t="n"/>
      <c r="AD173" s="22">
        <f>IF(A173="","",IF(OR(Y173="Descartado",M173="Não contatar",T173="Instagram",AG173="Não"),"Descartar",IF(OR(Y173&lt;&gt;"Verificado",U173="",W173="",X173="",Z173="",AA173="",AE173="",AF173="",AG173&lt;&gt;"Sim, confirmado",AH173=""),"Pendente",IF(AND(Z173&gt;=7,AA173&gt;=6),"Alta",IF(AND(Z173&gt;=5,AA173&gt;=4),"Média","Baixa")))))</f>
        <v/>
      </c>
      <c r="AE173" s="29" t="n"/>
      <c r="AF173" s="29" t="n"/>
      <c r="AG173" s="29" t="n"/>
      <c r="AH173" s="29" t="n"/>
      <c r="AI173" s="30">
        <f>IF(A173="","",IF(AE173="","País a verificar",IF(AE173="Brasil","Brasil","FORA DO BRASIL · "&amp;AE173)))</f>
        <v/>
      </c>
    </row>
    <row r="174" ht="28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7" t="n"/>
      <c r="K174" s="7" t="n"/>
      <c r="L174" s="6" t="n"/>
      <c r="M174" s="6" t="n"/>
      <c r="N174" s="8" t="n"/>
      <c r="O174" s="8" t="n"/>
      <c r="P174" s="7" t="n"/>
      <c r="Q174" s="6" t="n"/>
      <c r="R174" s="6" t="n"/>
      <c r="S174" s="9">
        <f>IF(A174="","",IF(M174="Não contatar","Não contatar",IF(OR(H174="Fechado",H174="Perdido"),"Encerrado",IF(K174="","Sem data",IF(K174&lt;TODAY(),"Atrasado",IF(K174=TODAY(),"Hoje","Agendado")))))))</f>
        <v/>
      </c>
      <c r="T174" s="18" t="n"/>
      <c r="U174" s="18" t="n"/>
      <c r="V174" s="18" t="n"/>
      <c r="W174" s="18" t="n"/>
      <c r="X174" s="19" t="n"/>
      <c r="Y174" s="18" t="n"/>
      <c r="Z174" s="20" t="n"/>
      <c r="AA174" s="20" t="n"/>
      <c r="AB174" s="21" t="n"/>
      <c r="AC174" s="21" t="n"/>
      <c r="AD174" s="22">
        <f>IF(A174="","",IF(OR(Y174="Descartado",M174="Não contatar",T174="Instagram",AG174="Não"),"Descartar",IF(OR(Y174&lt;&gt;"Verificado",U174="",W174="",X174="",Z174="",AA174="",AE174="",AF174="",AG174&lt;&gt;"Sim, confirmado",AH174=""),"Pendente",IF(AND(Z174&gt;=7,AA174&gt;=6),"Alta",IF(AND(Z174&gt;=5,AA174&gt;=4),"Média","Baixa")))))</f>
        <v/>
      </c>
      <c r="AE174" s="29" t="n"/>
      <c r="AF174" s="29" t="n"/>
      <c r="AG174" s="29" t="n"/>
      <c r="AH174" s="29" t="n"/>
      <c r="AI174" s="30">
        <f>IF(A174="","",IF(AE174="","País a verificar",IF(AE174="Brasil","Brasil","FORA DO BRASIL · "&amp;AE174)))</f>
        <v/>
      </c>
    </row>
    <row r="175" ht="28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7" t="n"/>
      <c r="K175" s="7" t="n"/>
      <c r="L175" s="6" t="n"/>
      <c r="M175" s="6" t="n"/>
      <c r="N175" s="8" t="n"/>
      <c r="O175" s="8" t="n"/>
      <c r="P175" s="7" t="n"/>
      <c r="Q175" s="6" t="n"/>
      <c r="R175" s="6" t="n"/>
      <c r="S175" s="9">
        <f>IF(A175="","",IF(M175="Não contatar","Não contatar",IF(OR(H175="Fechado",H175="Perdido"),"Encerrado",IF(K175="","Sem data",IF(K175&lt;TODAY(),"Atrasado",IF(K175=TODAY(),"Hoje","Agendado")))))))</f>
        <v/>
      </c>
      <c r="T175" s="18" t="n"/>
      <c r="U175" s="18" t="n"/>
      <c r="V175" s="18" t="n"/>
      <c r="W175" s="18" t="n"/>
      <c r="X175" s="19" t="n"/>
      <c r="Y175" s="18" t="n"/>
      <c r="Z175" s="20" t="n"/>
      <c r="AA175" s="20" t="n"/>
      <c r="AB175" s="21" t="n"/>
      <c r="AC175" s="21" t="n"/>
      <c r="AD175" s="22">
        <f>IF(A175="","",IF(OR(Y175="Descartado",M175="Não contatar",T175="Instagram",AG175="Não"),"Descartar",IF(OR(Y175&lt;&gt;"Verificado",U175="",W175="",X175="",Z175="",AA175="",AE175="",AF175="",AG175&lt;&gt;"Sim, confirmado",AH175=""),"Pendente",IF(AND(Z175&gt;=7,AA175&gt;=6),"Alta",IF(AND(Z175&gt;=5,AA175&gt;=4),"Média","Baixa")))))</f>
        <v/>
      </c>
      <c r="AE175" s="29" t="n"/>
      <c r="AF175" s="29" t="n"/>
      <c r="AG175" s="29" t="n"/>
      <c r="AH175" s="29" t="n"/>
      <c r="AI175" s="30">
        <f>IF(A175="","",IF(AE175="","País a verificar",IF(AE175="Brasil","Brasil","FORA DO BRASIL · "&amp;AE175)))</f>
        <v/>
      </c>
    </row>
    <row r="176" ht="28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7" t="n"/>
      <c r="K176" s="7" t="n"/>
      <c r="L176" s="6" t="n"/>
      <c r="M176" s="6" t="n"/>
      <c r="N176" s="8" t="n"/>
      <c r="O176" s="8" t="n"/>
      <c r="P176" s="7" t="n"/>
      <c r="Q176" s="6" t="n"/>
      <c r="R176" s="6" t="n"/>
      <c r="S176" s="9">
        <f>IF(A176="","",IF(M176="Não contatar","Não contatar",IF(OR(H176="Fechado",H176="Perdido"),"Encerrado",IF(K176="","Sem data",IF(K176&lt;TODAY(),"Atrasado",IF(K176=TODAY(),"Hoje","Agendado")))))))</f>
        <v/>
      </c>
      <c r="T176" s="18" t="n"/>
      <c r="U176" s="18" t="n"/>
      <c r="V176" s="18" t="n"/>
      <c r="W176" s="18" t="n"/>
      <c r="X176" s="19" t="n"/>
      <c r="Y176" s="18" t="n"/>
      <c r="Z176" s="20" t="n"/>
      <c r="AA176" s="20" t="n"/>
      <c r="AB176" s="21" t="n"/>
      <c r="AC176" s="21" t="n"/>
      <c r="AD176" s="22">
        <f>IF(A176="","",IF(OR(Y176="Descartado",M176="Não contatar",T176="Instagram",AG176="Não"),"Descartar",IF(OR(Y176&lt;&gt;"Verificado",U176="",W176="",X176="",Z176="",AA176="",AE176="",AF176="",AG176&lt;&gt;"Sim, confirmado",AH176=""),"Pendente",IF(AND(Z176&gt;=7,AA176&gt;=6),"Alta",IF(AND(Z176&gt;=5,AA176&gt;=4),"Média","Baixa")))))</f>
        <v/>
      </c>
      <c r="AE176" s="29" t="n"/>
      <c r="AF176" s="29" t="n"/>
      <c r="AG176" s="29" t="n"/>
      <c r="AH176" s="29" t="n"/>
      <c r="AI176" s="30">
        <f>IF(A176="","",IF(AE176="","País a verificar",IF(AE176="Brasil","Brasil","FORA DO BRASIL · "&amp;AE176)))</f>
        <v/>
      </c>
    </row>
    <row r="177" ht="28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7" t="n"/>
      <c r="K177" s="7" t="n"/>
      <c r="L177" s="6" t="n"/>
      <c r="M177" s="6" t="n"/>
      <c r="N177" s="8" t="n"/>
      <c r="O177" s="8" t="n"/>
      <c r="P177" s="7" t="n"/>
      <c r="Q177" s="6" t="n"/>
      <c r="R177" s="6" t="n"/>
      <c r="S177" s="9">
        <f>IF(A177="","",IF(M177="Não contatar","Não contatar",IF(OR(H177="Fechado",H177="Perdido"),"Encerrado",IF(K177="","Sem data",IF(K177&lt;TODAY(),"Atrasado",IF(K177=TODAY(),"Hoje","Agendado")))))))</f>
        <v/>
      </c>
      <c r="T177" s="18" t="n"/>
      <c r="U177" s="18" t="n"/>
      <c r="V177" s="18" t="n"/>
      <c r="W177" s="18" t="n"/>
      <c r="X177" s="19" t="n"/>
      <c r="Y177" s="18" t="n"/>
      <c r="Z177" s="20" t="n"/>
      <c r="AA177" s="20" t="n"/>
      <c r="AB177" s="21" t="n"/>
      <c r="AC177" s="21" t="n"/>
      <c r="AD177" s="22">
        <f>IF(A177="","",IF(OR(Y177="Descartado",M177="Não contatar",T177="Instagram",AG177="Não"),"Descartar",IF(OR(Y177&lt;&gt;"Verificado",U177="",W177="",X177="",Z177="",AA177="",AE177="",AF177="",AG177&lt;&gt;"Sim, confirmado",AH177=""),"Pendente",IF(AND(Z177&gt;=7,AA177&gt;=6),"Alta",IF(AND(Z177&gt;=5,AA177&gt;=4),"Média","Baixa")))))</f>
        <v/>
      </c>
      <c r="AE177" s="29" t="n"/>
      <c r="AF177" s="29" t="n"/>
      <c r="AG177" s="29" t="n"/>
      <c r="AH177" s="29" t="n"/>
      <c r="AI177" s="30">
        <f>IF(A177="","",IF(AE177="","País a verificar",IF(AE177="Brasil","Brasil","FORA DO BRASIL · "&amp;AE177)))</f>
        <v/>
      </c>
    </row>
    <row r="178" ht="28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7" t="n"/>
      <c r="K178" s="7" t="n"/>
      <c r="L178" s="6" t="n"/>
      <c r="M178" s="6" t="n"/>
      <c r="N178" s="8" t="n"/>
      <c r="O178" s="8" t="n"/>
      <c r="P178" s="7" t="n"/>
      <c r="Q178" s="6" t="n"/>
      <c r="R178" s="6" t="n"/>
      <c r="S178" s="9">
        <f>IF(A178="","",IF(M178="Não contatar","Não contatar",IF(OR(H178="Fechado",H178="Perdido"),"Encerrado",IF(K178="","Sem data",IF(K178&lt;TODAY(),"Atrasado",IF(K178=TODAY(),"Hoje","Agendado")))))))</f>
        <v/>
      </c>
      <c r="T178" s="18" t="n"/>
      <c r="U178" s="18" t="n"/>
      <c r="V178" s="18" t="n"/>
      <c r="W178" s="18" t="n"/>
      <c r="X178" s="19" t="n"/>
      <c r="Y178" s="18" t="n"/>
      <c r="Z178" s="20" t="n"/>
      <c r="AA178" s="20" t="n"/>
      <c r="AB178" s="21" t="n"/>
      <c r="AC178" s="21" t="n"/>
      <c r="AD178" s="22">
        <f>IF(A178="","",IF(OR(Y178="Descartado",M178="Não contatar",T178="Instagram",AG178="Não"),"Descartar",IF(OR(Y178&lt;&gt;"Verificado",U178="",W178="",X178="",Z178="",AA178="",AE178="",AF178="",AG178&lt;&gt;"Sim, confirmado",AH178=""),"Pendente",IF(AND(Z178&gt;=7,AA178&gt;=6),"Alta",IF(AND(Z178&gt;=5,AA178&gt;=4),"Média","Baixa")))))</f>
        <v/>
      </c>
      <c r="AE178" s="29" t="n"/>
      <c r="AF178" s="29" t="n"/>
      <c r="AG178" s="29" t="n"/>
      <c r="AH178" s="29" t="n"/>
      <c r="AI178" s="30">
        <f>IF(A178="","",IF(AE178="","País a verificar",IF(AE178="Brasil","Brasil","FORA DO BRASIL · "&amp;AE178)))</f>
        <v/>
      </c>
    </row>
    <row r="179" ht="28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7" t="n"/>
      <c r="K179" s="7" t="n"/>
      <c r="L179" s="6" t="n"/>
      <c r="M179" s="6" t="n"/>
      <c r="N179" s="8" t="n"/>
      <c r="O179" s="8" t="n"/>
      <c r="P179" s="7" t="n"/>
      <c r="Q179" s="6" t="n"/>
      <c r="R179" s="6" t="n"/>
      <c r="S179" s="9">
        <f>IF(A179="","",IF(M179="Não contatar","Não contatar",IF(OR(H179="Fechado",H179="Perdido"),"Encerrado",IF(K179="","Sem data",IF(K179&lt;TODAY(),"Atrasado",IF(K179=TODAY(),"Hoje","Agendado")))))))</f>
        <v/>
      </c>
      <c r="T179" s="18" t="n"/>
      <c r="U179" s="18" t="n"/>
      <c r="V179" s="18" t="n"/>
      <c r="W179" s="18" t="n"/>
      <c r="X179" s="19" t="n"/>
      <c r="Y179" s="18" t="n"/>
      <c r="Z179" s="20" t="n"/>
      <c r="AA179" s="20" t="n"/>
      <c r="AB179" s="21" t="n"/>
      <c r="AC179" s="21" t="n"/>
      <c r="AD179" s="22">
        <f>IF(A179="","",IF(OR(Y179="Descartado",M179="Não contatar",T179="Instagram",AG179="Não"),"Descartar",IF(OR(Y179&lt;&gt;"Verificado",U179="",W179="",X179="",Z179="",AA179="",AE179="",AF179="",AG179&lt;&gt;"Sim, confirmado",AH179=""),"Pendente",IF(AND(Z179&gt;=7,AA179&gt;=6),"Alta",IF(AND(Z179&gt;=5,AA179&gt;=4),"Média","Baixa")))))</f>
        <v/>
      </c>
      <c r="AE179" s="29" t="n"/>
      <c r="AF179" s="29" t="n"/>
      <c r="AG179" s="29" t="n"/>
      <c r="AH179" s="29" t="n"/>
      <c r="AI179" s="30">
        <f>IF(A179="","",IF(AE179="","País a verificar",IF(AE179="Brasil","Brasil","FORA DO BRASIL · "&amp;AE179)))</f>
        <v/>
      </c>
    </row>
    <row r="180" ht="28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7" t="n"/>
      <c r="K180" s="7" t="n"/>
      <c r="L180" s="6" t="n"/>
      <c r="M180" s="6" t="n"/>
      <c r="N180" s="8" t="n"/>
      <c r="O180" s="8" t="n"/>
      <c r="P180" s="7" t="n"/>
      <c r="Q180" s="6" t="n"/>
      <c r="R180" s="6" t="n"/>
      <c r="S180" s="9">
        <f>IF(A180="","",IF(M180="Não contatar","Não contatar",IF(OR(H180="Fechado",H180="Perdido"),"Encerrado",IF(K180="","Sem data",IF(K180&lt;TODAY(),"Atrasado",IF(K180=TODAY(),"Hoje","Agendado")))))))</f>
        <v/>
      </c>
      <c r="T180" s="18" t="n"/>
      <c r="U180" s="18" t="n"/>
      <c r="V180" s="18" t="n"/>
      <c r="W180" s="18" t="n"/>
      <c r="X180" s="19" t="n"/>
      <c r="Y180" s="18" t="n"/>
      <c r="Z180" s="20" t="n"/>
      <c r="AA180" s="20" t="n"/>
      <c r="AB180" s="21" t="n"/>
      <c r="AC180" s="21" t="n"/>
      <c r="AD180" s="22">
        <f>IF(A180="","",IF(OR(Y180="Descartado",M180="Não contatar",T180="Instagram",AG180="Não"),"Descartar",IF(OR(Y180&lt;&gt;"Verificado",U180="",W180="",X180="",Z180="",AA180="",AE180="",AF180="",AG180&lt;&gt;"Sim, confirmado",AH180=""),"Pendente",IF(AND(Z180&gt;=7,AA180&gt;=6),"Alta",IF(AND(Z180&gt;=5,AA180&gt;=4),"Média","Baixa")))))</f>
        <v/>
      </c>
      <c r="AE180" s="29" t="n"/>
      <c r="AF180" s="29" t="n"/>
      <c r="AG180" s="29" t="n"/>
      <c r="AH180" s="29" t="n"/>
      <c r="AI180" s="30">
        <f>IF(A180="","",IF(AE180="","País a verificar",IF(AE180="Brasil","Brasil","FORA DO BRASIL · "&amp;AE180)))</f>
        <v/>
      </c>
    </row>
    <row r="181" ht="28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7" t="n"/>
      <c r="K181" s="7" t="n"/>
      <c r="L181" s="6" t="n"/>
      <c r="M181" s="6" t="n"/>
      <c r="N181" s="8" t="n"/>
      <c r="O181" s="8" t="n"/>
      <c r="P181" s="7" t="n"/>
      <c r="Q181" s="6" t="n"/>
      <c r="R181" s="6" t="n"/>
      <c r="S181" s="9">
        <f>IF(A181="","",IF(M181="Não contatar","Não contatar",IF(OR(H181="Fechado",H181="Perdido"),"Encerrado",IF(K181="","Sem data",IF(K181&lt;TODAY(),"Atrasado",IF(K181=TODAY(),"Hoje","Agendado")))))))</f>
        <v/>
      </c>
      <c r="T181" s="18" t="n"/>
      <c r="U181" s="18" t="n"/>
      <c r="V181" s="18" t="n"/>
      <c r="W181" s="18" t="n"/>
      <c r="X181" s="19" t="n"/>
      <c r="Y181" s="18" t="n"/>
      <c r="Z181" s="20" t="n"/>
      <c r="AA181" s="20" t="n"/>
      <c r="AB181" s="21" t="n"/>
      <c r="AC181" s="21" t="n"/>
      <c r="AD181" s="22">
        <f>IF(A181="","",IF(OR(Y181="Descartado",M181="Não contatar",T181="Instagram",AG181="Não"),"Descartar",IF(OR(Y181&lt;&gt;"Verificado",U181="",W181="",X181="",Z181="",AA181="",AE181="",AF181="",AG181&lt;&gt;"Sim, confirmado",AH181=""),"Pendente",IF(AND(Z181&gt;=7,AA181&gt;=6),"Alta",IF(AND(Z181&gt;=5,AA181&gt;=4),"Média","Baixa")))))</f>
        <v/>
      </c>
      <c r="AE181" s="29" t="n"/>
      <c r="AF181" s="29" t="n"/>
      <c r="AG181" s="29" t="n"/>
      <c r="AH181" s="29" t="n"/>
      <c r="AI181" s="30">
        <f>IF(A181="","",IF(AE181="","País a verificar",IF(AE181="Brasil","Brasil","FORA DO BRASIL · "&amp;AE181)))</f>
        <v/>
      </c>
    </row>
    <row r="182" ht="28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7" t="n"/>
      <c r="K182" s="7" t="n"/>
      <c r="L182" s="6" t="n"/>
      <c r="M182" s="6" t="n"/>
      <c r="N182" s="8" t="n"/>
      <c r="O182" s="8" t="n"/>
      <c r="P182" s="7" t="n"/>
      <c r="Q182" s="6" t="n"/>
      <c r="R182" s="6" t="n"/>
      <c r="S182" s="9">
        <f>IF(A182="","",IF(M182="Não contatar","Não contatar",IF(OR(H182="Fechado",H182="Perdido"),"Encerrado",IF(K182="","Sem data",IF(K182&lt;TODAY(),"Atrasado",IF(K182=TODAY(),"Hoje","Agendado")))))))</f>
        <v/>
      </c>
      <c r="T182" s="18" t="n"/>
      <c r="U182" s="18" t="n"/>
      <c r="V182" s="18" t="n"/>
      <c r="W182" s="18" t="n"/>
      <c r="X182" s="19" t="n"/>
      <c r="Y182" s="18" t="n"/>
      <c r="Z182" s="20" t="n"/>
      <c r="AA182" s="20" t="n"/>
      <c r="AB182" s="21" t="n"/>
      <c r="AC182" s="21" t="n"/>
      <c r="AD182" s="22">
        <f>IF(A182="","",IF(OR(Y182="Descartado",M182="Não contatar",T182="Instagram",AG182="Não"),"Descartar",IF(OR(Y182&lt;&gt;"Verificado",U182="",W182="",X182="",Z182="",AA182="",AE182="",AF182="",AG182&lt;&gt;"Sim, confirmado",AH182=""),"Pendente",IF(AND(Z182&gt;=7,AA182&gt;=6),"Alta",IF(AND(Z182&gt;=5,AA182&gt;=4),"Média","Baixa")))))</f>
        <v/>
      </c>
      <c r="AE182" s="29" t="n"/>
      <c r="AF182" s="29" t="n"/>
      <c r="AG182" s="29" t="n"/>
      <c r="AH182" s="29" t="n"/>
      <c r="AI182" s="30">
        <f>IF(A182="","",IF(AE182="","País a verificar",IF(AE182="Brasil","Brasil","FORA DO BRASIL · "&amp;AE182)))</f>
        <v/>
      </c>
    </row>
    <row r="183" ht="28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7" t="n"/>
      <c r="K183" s="7" t="n"/>
      <c r="L183" s="6" t="n"/>
      <c r="M183" s="6" t="n"/>
      <c r="N183" s="8" t="n"/>
      <c r="O183" s="8" t="n"/>
      <c r="P183" s="7" t="n"/>
      <c r="Q183" s="6" t="n"/>
      <c r="R183" s="6" t="n"/>
      <c r="S183" s="9">
        <f>IF(A183="","",IF(M183="Não contatar","Não contatar",IF(OR(H183="Fechado",H183="Perdido"),"Encerrado",IF(K183="","Sem data",IF(K183&lt;TODAY(),"Atrasado",IF(K183=TODAY(),"Hoje","Agendado")))))))</f>
        <v/>
      </c>
      <c r="T183" s="18" t="n"/>
      <c r="U183" s="18" t="n"/>
      <c r="V183" s="18" t="n"/>
      <c r="W183" s="18" t="n"/>
      <c r="X183" s="19" t="n"/>
      <c r="Y183" s="18" t="n"/>
      <c r="Z183" s="20" t="n"/>
      <c r="AA183" s="20" t="n"/>
      <c r="AB183" s="21" t="n"/>
      <c r="AC183" s="21" t="n"/>
      <c r="AD183" s="22">
        <f>IF(A183="","",IF(OR(Y183="Descartado",M183="Não contatar",T183="Instagram",AG183="Não"),"Descartar",IF(OR(Y183&lt;&gt;"Verificado",U183="",W183="",X183="",Z183="",AA183="",AE183="",AF183="",AG183&lt;&gt;"Sim, confirmado",AH183=""),"Pendente",IF(AND(Z183&gt;=7,AA183&gt;=6),"Alta",IF(AND(Z183&gt;=5,AA183&gt;=4),"Média","Baixa")))))</f>
        <v/>
      </c>
      <c r="AE183" s="29" t="n"/>
      <c r="AF183" s="29" t="n"/>
      <c r="AG183" s="29" t="n"/>
      <c r="AH183" s="29" t="n"/>
      <c r="AI183" s="30">
        <f>IF(A183="","",IF(AE183="","País a verificar",IF(AE183="Brasil","Brasil","FORA DO BRASIL · "&amp;AE183)))</f>
        <v/>
      </c>
    </row>
    <row r="184" ht="28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7" t="n"/>
      <c r="K184" s="7" t="n"/>
      <c r="L184" s="6" t="n"/>
      <c r="M184" s="6" t="n"/>
      <c r="N184" s="8" t="n"/>
      <c r="O184" s="8" t="n"/>
      <c r="P184" s="7" t="n"/>
      <c r="Q184" s="6" t="n"/>
      <c r="R184" s="6" t="n"/>
      <c r="S184" s="9">
        <f>IF(A184="","",IF(M184="Não contatar","Não contatar",IF(OR(H184="Fechado",H184="Perdido"),"Encerrado",IF(K184="","Sem data",IF(K184&lt;TODAY(),"Atrasado",IF(K184=TODAY(),"Hoje","Agendado")))))))</f>
        <v/>
      </c>
      <c r="T184" s="18" t="n"/>
      <c r="U184" s="18" t="n"/>
      <c r="V184" s="18" t="n"/>
      <c r="W184" s="18" t="n"/>
      <c r="X184" s="19" t="n"/>
      <c r="Y184" s="18" t="n"/>
      <c r="Z184" s="20" t="n"/>
      <c r="AA184" s="20" t="n"/>
      <c r="AB184" s="21" t="n"/>
      <c r="AC184" s="21" t="n"/>
      <c r="AD184" s="22">
        <f>IF(A184="","",IF(OR(Y184="Descartado",M184="Não contatar",T184="Instagram",AG184="Não"),"Descartar",IF(OR(Y184&lt;&gt;"Verificado",U184="",W184="",X184="",Z184="",AA184="",AE184="",AF184="",AG184&lt;&gt;"Sim, confirmado",AH184=""),"Pendente",IF(AND(Z184&gt;=7,AA184&gt;=6),"Alta",IF(AND(Z184&gt;=5,AA184&gt;=4),"Média","Baixa")))))</f>
        <v/>
      </c>
      <c r="AE184" s="29" t="n"/>
      <c r="AF184" s="29" t="n"/>
      <c r="AG184" s="29" t="n"/>
      <c r="AH184" s="29" t="n"/>
      <c r="AI184" s="30">
        <f>IF(A184="","",IF(AE184="","País a verificar",IF(AE184="Brasil","Brasil","FORA DO BRASIL · "&amp;AE184)))</f>
        <v/>
      </c>
    </row>
    <row r="185" ht="28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7" t="n"/>
      <c r="K185" s="7" t="n"/>
      <c r="L185" s="6" t="n"/>
      <c r="M185" s="6" t="n"/>
      <c r="N185" s="8" t="n"/>
      <c r="O185" s="8" t="n"/>
      <c r="P185" s="7" t="n"/>
      <c r="Q185" s="6" t="n"/>
      <c r="R185" s="6" t="n"/>
      <c r="S185" s="9">
        <f>IF(A185="","",IF(M185="Não contatar","Não contatar",IF(OR(H185="Fechado",H185="Perdido"),"Encerrado",IF(K185="","Sem data",IF(K185&lt;TODAY(),"Atrasado",IF(K185=TODAY(),"Hoje","Agendado")))))))</f>
        <v/>
      </c>
      <c r="T185" s="18" t="n"/>
      <c r="U185" s="18" t="n"/>
      <c r="V185" s="18" t="n"/>
      <c r="W185" s="18" t="n"/>
      <c r="X185" s="19" t="n"/>
      <c r="Y185" s="18" t="n"/>
      <c r="Z185" s="20" t="n"/>
      <c r="AA185" s="20" t="n"/>
      <c r="AB185" s="21" t="n"/>
      <c r="AC185" s="21" t="n"/>
      <c r="AD185" s="22">
        <f>IF(A185="","",IF(OR(Y185="Descartado",M185="Não contatar",T185="Instagram",AG185="Não"),"Descartar",IF(OR(Y185&lt;&gt;"Verificado",U185="",W185="",X185="",Z185="",AA185="",AE185="",AF185="",AG185&lt;&gt;"Sim, confirmado",AH185=""),"Pendente",IF(AND(Z185&gt;=7,AA185&gt;=6),"Alta",IF(AND(Z185&gt;=5,AA185&gt;=4),"Média","Baixa")))))</f>
        <v/>
      </c>
      <c r="AE185" s="29" t="n"/>
      <c r="AF185" s="29" t="n"/>
      <c r="AG185" s="29" t="n"/>
      <c r="AH185" s="29" t="n"/>
      <c r="AI185" s="30">
        <f>IF(A185="","",IF(AE185="","País a verificar",IF(AE185="Brasil","Brasil","FORA DO BRASIL · "&amp;AE185)))</f>
        <v/>
      </c>
    </row>
    <row r="186" ht="28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7" t="n"/>
      <c r="K186" s="7" t="n"/>
      <c r="L186" s="6" t="n"/>
      <c r="M186" s="6" t="n"/>
      <c r="N186" s="8" t="n"/>
      <c r="O186" s="8" t="n"/>
      <c r="P186" s="7" t="n"/>
      <c r="Q186" s="6" t="n"/>
      <c r="R186" s="6" t="n"/>
      <c r="S186" s="9">
        <f>IF(A186="","",IF(M186="Não contatar","Não contatar",IF(OR(H186="Fechado",H186="Perdido"),"Encerrado",IF(K186="","Sem data",IF(K186&lt;TODAY(),"Atrasado",IF(K186=TODAY(),"Hoje","Agendado")))))))</f>
        <v/>
      </c>
      <c r="T186" s="18" t="n"/>
      <c r="U186" s="18" t="n"/>
      <c r="V186" s="18" t="n"/>
      <c r="W186" s="18" t="n"/>
      <c r="X186" s="19" t="n"/>
      <c r="Y186" s="18" t="n"/>
      <c r="Z186" s="20" t="n"/>
      <c r="AA186" s="20" t="n"/>
      <c r="AB186" s="21" t="n"/>
      <c r="AC186" s="21" t="n"/>
      <c r="AD186" s="22">
        <f>IF(A186="","",IF(OR(Y186="Descartado",M186="Não contatar",T186="Instagram",AG186="Não"),"Descartar",IF(OR(Y186&lt;&gt;"Verificado",U186="",W186="",X186="",Z186="",AA186="",AE186="",AF186="",AG186&lt;&gt;"Sim, confirmado",AH186=""),"Pendente",IF(AND(Z186&gt;=7,AA186&gt;=6),"Alta",IF(AND(Z186&gt;=5,AA186&gt;=4),"Média","Baixa")))))</f>
        <v/>
      </c>
      <c r="AE186" s="29" t="n"/>
      <c r="AF186" s="29" t="n"/>
      <c r="AG186" s="29" t="n"/>
      <c r="AH186" s="29" t="n"/>
      <c r="AI186" s="30">
        <f>IF(A186="","",IF(AE186="","País a verificar",IF(AE186="Brasil","Brasil","FORA DO BRASIL · "&amp;AE186)))</f>
        <v/>
      </c>
    </row>
    <row r="187" ht="28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7" t="n"/>
      <c r="K187" s="7" t="n"/>
      <c r="L187" s="6" t="n"/>
      <c r="M187" s="6" t="n"/>
      <c r="N187" s="8" t="n"/>
      <c r="O187" s="8" t="n"/>
      <c r="P187" s="7" t="n"/>
      <c r="Q187" s="6" t="n"/>
      <c r="R187" s="6" t="n"/>
      <c r="S187" s="9">
        <f>IF(A187="","",IF(M187="Não contatar","Não contatar",IF(OR(H187="Fechado",H187="Perdido"),"Encerrado",IF(K187="","Sem data",IF(K187&lt;TODAY(),"Atrasado",IF(K187=TODAY(),"Hoje","Agendado")))))))</f>
        <v/>
      </c>
      <c r="T187" s="18" t="n"/>
      <c r="U187" s="18" t="n"/>
      <c r="V187" s="18" t="n"/>
      <c r="W187" s="18" t="n"/>
      <c r="X187" s="19" t="n"/>
      <c r="Y187" s="18" t="n"/>
      <c r="Z187" s="20" t="n"/>
      <c r="AA187" s="20" t="n"/>
      <c r="AB187" s="21" t="n"/>
      <c r="AC187" s="21" t="n"/>
      <c r="AD187" s="22">
        <f>IF(A187="","",IF(OR(Y187="Descartado",M187="Não contatar",T187="Instagram",AG187="Não"),"Descartar",IF(OR(Y187&lt;&gt;"Verificado",U187="",W187="",X187="",Z187="",AA187="",AE187="",AF187="",AG187&lt;&gt;"Sim, confirmado",AH187=""),"Pendente",IF(AND(Z187&gt;=7,AA187&gt;=6),"Alta",IF(AND(Z187&gt;=5,AA187&gt;=4),"Média","Baixa")))))</f>
        <v/>
      </c>
      <c r="AE187" s="29" t="n"/>
      <c r="AF187" s="29" t="n"/>
      <c r="AG187" s="29" t="n"/>
      <c r="AH187" s="29" t="n"/>
      <c r="AI187" s="30">
        <f>IF(A187="","",IF(AE187="","País a verificar",IF(AE187="Brasil","Brasil","FORA DO BRASIL · "&amp;AE187)))</f>
        <v/>
      </c>
    </row>
    <row r="188" ht="28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7" t="n"/>
      <c r="K188" s="7" t="n"/>
      <c r="L188" s="6" t="n"/>
      <c r="M188" s="6" t="n"/>
      <c r="N188" s="8" t="n"/>
      <c r="O188" s="8" t="n"/>
      <c r="P188" s="7" t="n"/>
      <c r="Q188" s="6" t="n"/>
      <c r="R188" s="6" t="n"/>
      <c r="S188" s="9">
        <f>IF(A188="","",IF(M188="Não contatar","Não contatar",IF(OR(H188="Fechado",H188="Perdido"),"Encerrado",IF(K188="","Sem data",IF(K188&lt;TODAY(),"Atrasado",IF(K188=TODAY(),"Hoje","Agendado")))))))</f>
        <v/>
      </c>
      <c r="T188" s="18" t="n"/>
      <c r="U188" s="18" t="n"/>
      <c r="V188" s="18" t="n"/>
      <c r="W188" s="18" t="n"/>
      <c r="X188" s="19" t="n"/>
      <c r="Y188" s="18" t="n"/>
      <c r="Z188" s="20" t="n"/>
      <c r="AA188" s="20" t="n"/>
      <c r="AB188" s="21" t="n"/>
      <c r="AC188" s="21" t="n"/>
      <c r="AD188" s="22">
        <f>IF(A188="","",IF(OR(Y188="Descartado",M188="Não contatar",T188="Instagram",AG188="Não"),"Descartar",IF(OR(Y188&lt;&gt;"Verificado",U188="",W188="",X188="",Z188="",AA188="",AE188="",AF188="",AG188&lt;&gt;"Sim, confirmado",AH188=""),"Pendente",IF(AND(Z188&gt;=7,AA188&gt;=6),"Alta",IF(AND(Z188&gt;=5,AA188&gt;=4),"Média","Baixa")))))</f>
        <v/>
      </c>
      <c r="AE188" s="29" t="n"/>
      <c r="AF188" s="29" t="n"/>
      <c r="AG188" s="29" t="n"/>
      <c r="AH188" s="29" t="n"/>
      <c r="AI188" s="30">
        <f>IF(A188="","",IF(AE188="","País a verificar",IF(AE188="Brasil","Brasil","FORA DO BRASIL · "&amp;AE188)))</f>
        <v/>
      </c>
    </row>
    <row r="189" ht="28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7" t="n"/>
      <c r="K189" s="7" t="n"/>
      <c r="L189" s="6" t="n"/>
      <c r="M189" s="6" t="n"/>
      <c r="N189" s="8" t="n"/>
      <c r="O189" s="8" t="n"/>
      <c r="P189" s="7" t="n"/>
      <c r="Q189" s="6" t="n"/>
      <c r="R189" s="6" t="n"/>
      <c r="S189" s="9">
        <f>IF(A189="","",IF(M189="Não contatar","Não contatar",IF(OR(H189="Fechado",H189="Perdido"),"Encerrado",IF(K189="","Sem data",IF(K189&lt;TODAY(),"Atrasado",IF(K189=TODAY(),"Hoje","Agendado")))))))</f>
        <v/>
      </c>
      <c r="T189" s="18" t="n"/>
      <c r="U189" s="18" t="n"/>
      <c r="V189" s="18" t="n"/>
      <c r="W189" s="18" t="n"/>
      <c r="X189" s="19" t="n"/>
      <c r="Y189" s="18" t="n"/>
      <c r="Z189" s="20" t="n"/>
      <c r="AA189" s="20" t="n"/>
      <c r="AB189" s="21" t="n"/>
      <c r="AC189" s="21" t="n"/>
      <c r="AD189" s="22">
        <f>IF(A189="","",IF(OR(Y189="Descartado",M189="Não contatar",T189="Instagram",AG189="Não"),"Descartar",IF(OR(Y189&lt;&gt;"Verificado",U189="",W189="",X189="",Z189="",AA189="",AE189="",AF189="",AG189&lt;&gt;"Sim, confirmado",AH189=""),"Pendente",IF(AND(Z189&gt;=7,AA189&gt;=6),"Alta",IF(AND(Z189&gt;=5,AA189&gt;=4),"Média","Baixa")))))</f>
        <v/>
      </c>
      <c r="AE189" s="29" t="n"/>
      <c r="AF189" s="29" t="n"/>
      <c r="AG189" s="29" t="n"/>
      <c r="AH189" s="29" t="n"/>
      <c r="AI189" s="30">
        <f>IF(A189="","",IF(AE189="","País a verificar",IF(AE189="Brasil","Brasil","FORA DO BRASIL · "&amp;AE189)))</f>
        <v/>
      </c>
    </row>
    <row r="190" ht="28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7" t="n"/>
      <c r="K190" s="7" t="n"/>
      <c r="L190" s="6" t="n"/>
      <c r="M190" s="6" t="n"/>
      <c r="N190" s="8" t="n"/>
      <c r="O190" s="8" t="n"/>
      <c r="P190" s="7" t="n"/>
      <c r="Q190" s="6" t="n"/>
      <c r="R190" s="6" t="n"/>
      <c r="S190" s="9">
        <f>IF(A190="","",IF(M190="Não contatar","Não contatar",IF(OR(H190="Fechado",H190="Perdido"),"Encerrado",IF(K190="","Sem data",IF(K190&lt;TODAY(),"Atrasado",IF(K190=TODAY(),"Hoje","Agendado")))))))</f>
        <v/>
      </c>
      <c r="T190" s="18" t="n"/>
      <c r="U190" s="18" t="n"/>
      <c r="V190" s="18" t="n"/>
      <c r="W190" s="18" t="n"/>
      <c r="X190" s="19" t="n"/>
      <c r="Y190" s="18" t="n"/>
      <c r="Z190" s="20" t="n"/>
      <c r="AA190" s="20" t="n"/>
      <c r="AB190" s="21" t="n"/>
      <c r="AC190" s="21" t="n"/>
      <c r="AD190" s="22">
        <f>IF(A190="","",IF(OR(Y190="Descartado",M190="Não contatar",T190="Instagram",AG190="Não"),"Descartar",IF(OR(Y190&lt;&gt;"Verificado",U190="",W190="",X190="",Z190="",AA190="",AE190="",AF190="",AG190&lt;&gt;"Sim, confirmado",AH190=""),"Pendente",IF(AND(Z190&gt;=7,AA190&gt;=6),"Alta",IF(AND(Z190&gt;=5,AA190&gt;=4),"Média","Baixa")))))</f>
        <v/>
      </c>
      <c r="AE190" s="29" t="n"/>
      <c r="AF190" s="29" t="n"/>
      <c r="AG190" s="29" t="n"/>
      <c r="AH190" s="29" t="n"/>
      <c r="AI190" s="30">
        <f>IF(A190="","",IF(AE190="","País a verificar",IF(AE190="Brasil","Brasil","FORA DO BRASIL · "&amp;AE190)))</f>
        <v/>
      </c>
    </row>
    <row r="191" ht="28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7" t="n"/>
      <c r="K191" s="7" t="n"/>
      <c r="L191" s="6" t="n"/>
      <c r="M191" s="6" t="n"/>
      <c r="N191" s="8" t="n"/>
      <c r="O191" s="8" t="n"/>
      <c r="P191" s="7" t="n"/>
      <c r="Q191" s="6" t="n"/>
      <c r="R191" s="6" t="n"/>
      <c r="S191" s="9">
        <f>IF(A191="","",IF(M191="Não contatar","Não contatar",IF(OR(H191="Fechado",H191="Perdido"),"Encerrado",IF(K191="","Sem data",IF(K191&lt;TODAY(),"Atrasado",IF(K191=TODAY(),"Hoje","Agendado")))))))</f>
        <v/>
      </c>
      <c r="T191" s="18" t="n"/>
      <c r="U191" s="18" t="n"/>
      <c r="V191" s="18" t="n"/>
      <c r="W191" s="18" t="n"/>
      <c r="X191" s="19" t="n"/>
      <c r="Y191" s="18" t="n"/>
      <c r="Z191" s="20" t="n"/>
      <c r="AA191" s="20" t="n"/>
      <c r="AB191" s="21" t="n"/>
      <c r="AC191" s="21" t="n"/>
      <c r="AD191" s="22">
        <f>IF(A191="","",IF(OR(Y191="Descartado",M191="Não contatar",T191="Instagram",AG191="Não"),"Descartar",IF(OR(Y191&lt;&gt;"Verificado",U191="",W191="",X191="",Z191="",AA191="",AE191="",AF191="",AG191&lt;&gt;"Sim, confirmado",AH191=""),"Pendente",IF(AND(Z191&gt;=7,AA191&gt;=6),"Alta",IF(AND(Z191&gt;=5,AA191&gt;=4),"Média","Baixa")))))</f>
        <v/>
      </c>
      <c r="AE191" s="29" t="n"/>
      <c r="AF191" s="29" t="n"/>
      <c r="AG191" s="29" t="n"/>
      <c r="AH191" s="29" t="n"/>
      <c r="AI191" s="30">
        <f>IF(A191="","",IF(AE191="","País a verificar",IF(AE191="Brasil","Brasil","FORA DO BRASIL · "&amp;AE191)))</f>
        <v/>
      </c>
    </row>
    <row r="192" ht="28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7" t="n"/>
      <c r="K192" s="7" t="n"/>
      <c r="L192" s="6" t="n"/>
      <c r="M192" s="6" t="n"/>
      <c r="N192" s="8" t="n"/>
      <c r="O192" s="8" t="n"/>
      <c r="P192" s="7" t="n"/>
      <c r="Q192" s="6" t="n"/>
      <c r="R192" s="6" t="n"/>
      <c r="S192" s="9">
        <f>IF(A192="","",IF(M192="Não contatar","Não contatar",IF(OR(H192="Fechado",H192="Perdido"),"Encerrado",IF(K192="","Sem data",IF(K192&lt;TODAY(),"Atrasado",IF(K192=TODAY(),"Hoje","Agendado")))))))</f>
        <v/>
      </c>
      <c r="T192" s="18" t="n"/>
      <c r="U192" s="18" t="n"/>
      <c r="V192" s="18" t="n"/>
      <c r="W192" s="18" t="n"/>
      <c r="X192" s="19" t="n"/>
      <c r="Y192" s="18" t="n"/>
      <c r="Z192" s="20" t="n"/>
      <c r="AA192" s="20" t="n"/>
      <c r="AB192" s="21" t="n"/>
      <c r="AC192" s="21" t="n"/>
      <c r="AD192" s="22">
        <f>IF(A192="","",IF(OR(Y192="Descartado",M192="Não contatar",T192="Instagram",AG192="Não"),"Descartar",IF(OR(Y192&lt;&gt;"Verificado",U192="",W192="",X192="",Z192="",AA192="",AE192="",AF192="",AG192&lt;&gt;"Sim, confirmado",AH192=""),"Pendente",IF(AND(Z192&gt;=7,AA192&gt;=6),"Alta",IF(AND(Z192&gt;=5,AA192&gt;=4),"Média","Baixa")))))</f>
        <v/>
      </c>
      <c r="AE192" s="29" t="n"/>
      <c r="AF192" s="29" t="n"/>
      <c r="AG192" s="29" t="n"/>
      <c r="AH192" s="29" t="n"/>
      <c r="AI192" s="30">
        <f>IF(A192="","",IF(AE192="","País a verificar",IF(AE192="Brasil","Brasil","FORA DO BRASIL · "&amp;AE192)))</f>
        <v/>
      </c>
    </row>
    <row r="193" ht="28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7" t="n"/>
      <c r="K193" s="7" t="n"/>
      <c r="L193" s="6" t="n"/>
      <c r="M193" s="6" t="n"/>
      <c r="N193" s="8" t="n"/>
      <c r="O193" s="8" t="n"/>
      <c r="P193" s="7" t="n"/>
      <c r="Q193" s="6" t="n"/>
      <c r="R193" s="6" t="n"/>
      <c r="S193" s="9">
        <f>IF(A193="","",IF(M193="Não contatar","Não contatar",IF(OR(H193="Fechado",H193="Perdido"),"Encerrado",IF(K193="","Sem data",IF(K193&lt;TODAY(),"Atrasado",IF(K193=TODAY(),"Hoje","Agendado")))))))</f>
        <v/>
      </c>
      <c r="T193" s="18" t="n"/>
      <c r="U193" s="18" t="n"/>
      <c r="V193" s="18" t="n"/>
      <c r="W193" s="18" t="n"/>
      <c r="X193" s="19" t="n"/>
      <c r="Y193" s="18" t="n"/>
      <c r="Z193" s="20" t="n"/>
      <c r="AA193" s="20" t="n"/>
      <c r="AB193" s="21" t="n"/>
      <c r="AC193" s="21" t="n"/>
      <c r="AD193" s="22">
        <f>IF(A193="","",IF(OR(Y193="Descartado",M193="Não contatar",T193="Instagram",AG193="Não"),"Descartar",IF(OR(Y193&lt;&gt;"Verificado",U193="",W193="",X193="",Z193="",AA193="",AE193="",AF193="",AG193&lt;&gt;"Sim, confirmado",AH193=""),"Pendente",IF(AND(Z193&gt;=7,AA193&gt;=6),"Alta",IF(AND(Z193&gt;=5,AA193&gt;=4),"Média","Baixa")))))</f>
        <v/>
      </c>
      <c r="AE193" s="29" t="n"/>
      <c r="AF193" s="29" t="n"/>
      <c r="AG193" s="29" t="n"/>
      <c r="AH193" s="29" t="n"/>
      <c r="AI193" s="30">
        <f>IF(A193="","",IF(AE193="","País a verificar",IF(AE193="Brasil","Brasil","FORA DO BRASIL · "&amp;AE193)))</f>
        <v/>
      </c>
    </row>
    <row r="194" ht="28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7" t="n"/>
      <c r="K194" s="7" t="n"/>
      <c r="L194" s="6" t="n"/>
      <c r="M194" s="6" t="n"/>
      <c r="N194" s="8" t="n"/>
      <c r="O194" s="8" t="n"/>
      <c r="P194" s="7" t="n"/>
      <c r="Q194" s="6" t="n"/>
      <c r="R194" s="6" t="n"/>
      <c r="S194" s="9">
        <f>IF(A194="","",IF(M194="Não contatar","Não contatar",IF(OR(H194="Fechado",H194="Perdido"),"Encerrado",IF(K194="","Sem data",IF(K194&lt;TODAY(),"Atrasado",IF(K194=TODAY(),"Hoje","Agendado")))))))</f>
        <v/>
      </c>
      <c r="T194" s="18" t="n"/>
      <c r="U194" s="18" t="n"/>
      <c r="V194" s="18" t="n"/>
      <c r="W194" s="18" t="n"/>
      <c r="X194" s="19" t="n"/>
      <c r="Y194" s="18" t="n"/>
      <c r="Z194" s="20" t="n"/>
      <c r="AA194" s="20" t="n"/>
      <c r="AB194" s="21" t="n"/>
      <c r="AC194" s="21" t="n"/>
      <c r="AD194" s="22">
        <f>IF(A194="","",IF(OR(Y194="Descartado",M194="Não contatar",T194="Instagram",AG194="Não"),"Descartar",IF(OR(Y194&lt;&gt;"Verificado",U194="",W194="",X194="",Z194="",AA194="",AE194="",AF194="",AG194&lt;&gt;"Sim, confirmado",AH194=""),"Pendente",IF(AND(Z194&gt;=7,AA194&gt;=6),"Alta",IF(AND(Z194&gt;=5,AA194&gt;=4),"Média","Baixa")))))</f>
        <v/>
      </c>
      <c r="AE194" s="29" t="n"/>
      <c r="AF194" s="29" t="n"/>
      <c r="AG194" s="29" t="n"/>
      <c r="AH194" s="29" t="n"/>
      <c r="AI194" s="30">
        <f>IF(A194="","",IF(AE194="","País a verificar",IF(AE194="Brasil","Brasil","FORA DO BRASIL · "&amp;AE194)))</f>
        <v/>
      </c>
    </row>
    <row r="195" ht="28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7" t="n"/>
      <c r="K195" s="7" t="n"/>
      <c r="L195" s="6" t="n"/>
      <c r="M195" s="6" t="n"/>
      <c r="N195" s="8" t="n"/>
      <c r="O195" s="8" t="n"/>
      <c r="P195" s="7" t="n"/>
      <c r="Q195" s="6" t="n"/>
      <c r="R195" s="6" t="n"/>
      <c r="S195" s="9">
        <f>IF(A195="","",IF(M195="Não contatar","Não contatar",IF(OR(H195="Fechado",H195="Perdido"),"Encerrado",IF(K195="","Sem data",IF(K195&lt;TODAY(),"Atrasado",IF(K195=TODAY(),"Hoje","Agendado")))))))</f>
        <v/>
      </c>
      <c r="T195" s="18" t="n"/>
      <c r="U195" s="18" t="n"/>
      <c r="V195" s="18" t="n"/>
      <c r="W195" s="18" t="n"/>
      <c r="X195" s="19" t="n"/>
      <c r="Y195" s="18" t="n"/>
      <c r="Z195" s="20" t="n"/>
      <c r="AA195" s="20" t="n"/>
      <c r="AB195" s="21" t="n"/>
      <c r="AC195" s="21" t="n"/>
      <c r="AD195" s="22">
        <f>IF(A195="","",IF(OR(Y195="Descartado",M195="Não contatar",T195="Instagram",AG195="Não"),"Descartar",IF(OR(Y195&lt;&gt;"Verificado",U195="",W195="",X195="",Z195="",AA195="",AE195="",AF195="",AG195&lt;&gt;"Sim, confirmado",AH195=""),"Pendente",IF(AND(Z195&gt;=7,AA195&gt;=6),"Alta",IF(AND(Z195&gt;=5,AA195&gt;=4),"Média","Baixa")))))</f>
        <v/>
      </c>
      <c r="AE195" s="29" t="n"/>
      <c r="AF195" s="29" t="n"/>
      <c r="AG195" s="29" t="n"/>
      <c r="AH195" s="29" t="n"/>
      <c r="AI195" s="30">
        <f>IF(A195="","",IF(AE195="","País a verificar",IF(AE195="Brasil","Brasil","FORA DO BRASIL · "&amp;AE195)))</f>
        <v/>
      </c>
    </row>
    <row r="196" ht="28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7" t="n"/>
      <c r="K196" s="7" t="n"/>
      <c r="L196" s="6" t="n"/>
      <c r="M196" s="6" t="n"/>
      <c r="N196" s="8" t="n"/>
      <c r="O196" s="8" t="n"/>
      <c r="P196" s="7" t="n"/>
      <c r="Q196" s="6" t="n"/>
      <c r="R196" s="6" t="n"/>
      <c r="S196" s="9">
        <f>IF(A196="","",IF(M196="Não contatar","Não contatar",IF(OR(H196="Fechado",H196="Perdido"),"Encerrado",IF(K196="","Sem data",IF(K196&lt;TODAY(),"Atrasado",IF(K196=TODAY(),"Hoje","Agendado")))))))</f>
        <v/>
      </c>
      <c r="T196" s="18" t="n"/>
      <c r="U196" s="18" t="n"/>
      <c r="V196" s="18" t="n"/>
      <c r="W196" s="18" t="n"/>
      <c r="X196" s="19" t="n"/>
      <c r="Y196" s="18" t="n"/>
      <c r="Z196" s="20" t="n"/>
      <c r="AA196" s="20" t="n"/>
      <c r="AB196" s="21" t="n"/>
      <c r="AC196" s="21" t="n"/>
      <c r="AD196" s="22">
        <f>IF(A196="","",IF(OR(Y196="Descartado",M196="Não contatar",T196="Instagram",AG196="Não"),"Descartar",IF(OR(Y196&lt;&gt;"Verificado",U196="",W196="",X196="",Z196="",AA196="",AE196="",AF196="",AG196&lt;&gt;"Sim, confirmado",AH196=""),"Pendente",IF(AND(Z196&gt;=7,AA196&gt;=6),"Alta",IF(AND(Z196&gt;=5,AA196&gt;=4),"Média","Baixa")))))</f>
        <v/>
      </c>
      <c r="AE196" s="29" t="n"/>
      <c r="AF196" s="29" t="n"/>
      <c r="AG196" s="29" t="n"/>
      <c r="AH196" s="29" t="n"/>
      <c r="AI196" s="30">
        <f>IF(A196="","",IF(AE196="","País a verificar",IF(AE196="Brasil","Brasil","FORA DO BRASIL · "&amp;AE196)))</f>
        <v/>
      </c>
    </row>
    <row r="197" ht="28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7" t="n"/>
      <c r="K197" s="7" t="n"/>
      <c r="L197" s="6" t="n"/>
      <c r="M197" s="6" t="n"/>
      <c r="N197" s="8" t="n"/>
      <c r="O197" s="8" t="n"/>
      <c r="P197" s="7" t="n"/>
      <c r="Q197" s="6" t="n"/>
      <c r="R197" s="6" t="n"/>
      <c r="S197" s="9">
        <f>IF(A197="","",IF(M197="Não contatar","Não contatar",IF(OR(H197="Fechado",H197="Perdido"),"Encerrado",IF(K197="","Sem data",IF(K197&lt;TODAY(),"Atrasado",IF(K197=TODAY(),"Hoje","Agendado")))))))</f>
        <v/>
      </c>
      <c r="T197" s="18" t="n"/>
      <c r="U197" s="18" t="n"/>
      <c r="V197" s="18" t="n"/>
      <c r="W197" s="18" t="n"/>
      <c r="X197" s="19" t="n"/>
      <c r="Y197" s="18" t="n"/>
      <c r="Z197" s="20" t="n"/>
      <c r="AA197" s="20" t="n"/>
      <c r="AB197" s="21" t="n"/>
      <c r="AC197" s="21" t="n"/>
      <c r="AD197" s="22">
        <f>IF(A197="","",IF(OR(Y197="Descartado",M197="Não contatar",T197="Instagram",AG197="Não"),"Descartar",IF(OR(Y197&lt;&gt;"Verificado",U197="",W197="",X197="",Z197="",AA197="",AE197="",AF197="",AG197&lt;&gt;"Sim, confirmado",AH197=""),"Pendente",IF(AND(Z197&gt;=7,AA197&gt;=6),"Alta",IF(AND(Z197&gt;=5,AA197&gt;=4),"Média","Baixa")))))</f>
        <v/>
      </c>
      <c r="AE197" s="29" t="n"/>
      <c r="AF197" s="29" t="n"/>
      <c r="AG197" s="29" t="n"/>
      <c r="AH197" s="29" t="n"/>
      <c r="AI197" s="30">
        <f>IF(A197="","",IF(AE197="","País a verificar",IF(AE197="Brasil","Brasil","FORA DO BRASIL · "&amp;AE197)))</f>
        <v/>
      </c>
    </row>
    <row r="198" ht="28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7" t="n"/>
      <c r="K198" s="7" t="n"/>
      <c r="L198" s="6" t="n"/>
      <c r="M198" s="6" t="n"/>
      <c r="N198" s="8" t="n"/>
      <c r="O198" s="8" t="n"/>
      <c r="P198" s="7" t="n"/>
      <c r="Q198" s="6" t="n"/>
      <c r="R198" s="6" t="n"/>
      <c r="S198" s="9">
        <f>IF(A198="","",IF(M198="Não contatar","Não contatar",IF(OR(H198="Fechado",H198="Perdido"),"Encerrado",IF(K198="","Sem data",IF(K198&lt;TODAY(),"Atrasado",IF(K198=TODAY(),"Hoje","Agendado")))))))</f>
        <v/>
      </c>
      <c r="T198" s="18" t="n"/>
      <c r="U198" s="18" t="n"/>
      <c r="V198" s="18" t="n"/>
      <c r="W198" s="18" t="n"/>
      <c r="X198" s="19" t="n"/>
      <c r="Y198" s="18" t="n"/>
      <c r="Z198" s="20" t="n"/>
      <c r="AA198" s="20" t="n"/>
      <c r="AB198" s="21" t="n"/>
      <c r="AC198" s="21" t="n"/>
      <c r="AD198" s="22">
        <f>IF(A198="","",IF(OR(Y198="Descartado",M198="Não contatar",T198="Instagram",AG198="Não"),"Descartar",IF(OR(Y198&lt;&gt;"Verificado",U198="",W198="",X198="",Z198="",AA198="",AE198="",AF198="",AG198&lt;&gt;"Sim, confirmado",AH198=""),"Pendente",IF(AND(Z198&gt;=7,AA198&gt;=6),"Alta",IF(AND(Z198&gt;=5,AA198&gt;=4),"Média","Baixa")))))</f>
        <v/>
      </c>
      <c r="AE198" s="29" t="n"/>
      <c r="AF198" s="29" t="n"/>
      <c r="AG198" s="29" t="n"/>
      <c r="AH198" s="29" t="n"/>
      <c r="AI198" s="30">
        <f>IF(A198="","",IF(AE198="","País a verificar",IF(AE198="Brasil","Brasil","FORA DO BRASIL · "&amp;AE198)))</f>
        <v/>
      </c>
    </row>
    <row r="199" ht="28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7" t="n"/>
      <c r="K199" s="7" t="n"/>
      <c r="L199" s="6" t="n"/>
      <c r="M199" s="6" t="n"/>
      <c r="N199" s="8" t="n"/>
      <c r="O199" s="8" t="n"/>
      <c r="P199" s="7" t="n"/>
      <c r="Q199" s="6" t="n"/>
      <c r="R199" s="6" t="n"/>
      <c r="S199" s="9">
        <f>IF(A199="","",IF(M199="Não contatar","Não contatar",IF(OR(H199="Fechado",H199="Perdido"),"Encerrado",IF(K199="","Sem data",IF(K199&lt;TODAY(),"Atrasado",IF(K199=TODAY(),"Hoje","Agendado")))))))</f>
        <v/>
      </c>
      <c r="T199" s="18" t="n"/>
      <c r="U199" s="18" t="n"/>
      <c r="V199" s="18" t="n"/>
      <c r="W199" s="18" t="n"/>
      <c r="X199" s="19" t="n"/>
      <c r="Y199" s="18" t="n"/>
      <c r="Z199" s="20" t="n"/>
      <c r="AA199" s="20" t="n"/>
      <c r="AB199" s="21" t="n"/>
      <c r="AC199" s="21" t="n"/>
      <c r="AD199" s="22">
        <f>IF(A199="","",IF(OR(Y199="Descartado",M199="Não contatar",T199="Instagram",AG199="Não"),"Descartar",IF(OR(Y199&lt;&gt;"Verificado",U199="",W199="",X199="",Z199="",AA199="",AE199="",AF199="",AG199&lt;&gt;"Sim, confirmado",AH199=""),"Pendente",IF(AND(Z199&gt;=7,AA199&gt;=6),"Alta",IF(AND(Z199&gt;=5,AA199&gt;=4),"Média","Baixa")))))</f>
        <v/>
      </c>
      <c r="AE199" s="29" t="n"/>
      <c r="AF199" s="29" t="n"/>
      <c r="AG199" s="29" t="n"/>
      <c r="AH199" s="29" t="n"/>
      <c r="AI199" s="30">
        <f>IF(A199="","",IF(AE199="","País a verificar",IF(AE199="Brasil","Brasil","FORA DO BRASIL · "&amp;AE199)))</f>
        <v/>
      </c>
    </row>
    <row r="200" ht="28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7" t="n"/>
      <c r="K200" s="7" t="n"/>
      <c r="L200" s="6" t="n"/>
      <c r="M200" s="6" t="n"/>
      <c r="N200" s="8" t="n"/>
      <c r="O200" s="8" t="n"/>
      <c r="P200" s="7" t="n"/>
      <c r="Q200" s="6" t="n"/>
      <c r="R200" s="6" t="n"/>
      <c r="S200" s="9">
        <f>IF(A200="","",IF(M200="Não contatar","Não contatar",IF(OR(H200="Fechado",H200="Perdido"),"Encerrado",IF(K200="","Sem data",IF(K200&lt;TODAY(),"Atrasado",IF(K200=TODAY(),"Hoje","Agendado")))))))</f>
        <v/>
      </c>
      <c r="T200" s="18" t="n"/>
      <c r="U200" s="18" t="n"/>
      <c r="V200" s="18" t="n"/>
      <c r="W200" s="18" t="n"/>
      <c r="X200" s="19" t="n"/>
      <c r="Y200" s="18" t="n"/>
      <c r="Z200" s="20" t="n"/>
      <c r="AA200" s="20" t="n"/>
      <c r="AB200" s="21" t="n"/>
      <c r="AC200" s="21" t="n"/>
      <c r="AD200" s="22">
        <f>IF(A200="","",IF(OR(Y200="Descartado",M200="Não contatar",T200="Instagram",AG200="Não"),"Descartar",IF(OR(Y200&lt;&gt;"Verificado",U200="",W200="",X200="",Z200="",AA200="",AE200="",AF200="",AG200&lt;&gt;"Sim, confirmado",AH200=""),"Pendente",IF(AND(Z200&gt;=7,AA200&gt;=6),"Alta",IF(AND(Z200&gt;=5,AA200&gt;=4),"Média","Baixa")))))</f>
        <v/>
      </c>
      <c r="AE200" s="29" t="n"/>
      <c r="AF200" s="29" t="n"/>
      <c r="AG200" s="29" t="n"/>
      <c r="AH200" s="29" t="n"/>
      <c r="AI200" s="30">
        <f>IF(A200="","",IF(AE200="","País a verificar",IF(AE200="Brasil","Brasil","FORA DO BRASIL · "&amp;AE200)))</f>
        <v/>
      </c>
    </row>
    <row r="201" ht="28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7" t="n"/>
      <c r="K201" s="7" t="n"/>
      <c r="L201" s="6" t="n"/>
      <c r="M201" s="6" t="n"/>
      <c r="N201" s="8" t="n"/>
      <c r="O201" s="8" t="n"/>
      <c r="P201" s="7" t="n"/>
      <c r="Q201" s="6" t="n"/>
      <c r="R201" s="6" t="n"/>
      <c r="S201" s="9">
        <f>IF(A201="","",IF(M201="Não contatar","Não contatar",IF(OR(H201="Fechado",H201="Perdido"),"Encerrado",IF(K201="","Sem data",IF(K201&lt;TODAY(),"Atrasado",IF(K201=TODAY(),"Hoje","Agendado")))))))</f>
        <v/>
      </c>
      <c r="T201" s="18" t="n"/>
      <c r="U201" s="18" t="n"/>
      <c r="V201" s="18" t="n"/>
      <c r="W201" s="18" t="n"/>
      <c r="X201" s="19" t="n"/>
      <c r="Y201" s="18" t="n"/>
      <c r="Z201" s="20" t="n"/>
      <c r="AA201" s="20" t="n"/>
      <c r="AB201" s="21" t="n"/>
      <c r="AC201" s="21" t="n"/>
      <c r="AD201" s="22">
        <f>IF(A201="","",IF(OR(Y201="Descartado",M201="Não contatar",T201="Instagram",AG201="Não"),"Descartar",IF(OR(Y201&lt;&gt;"Verificado",U201="",W201="",X201="",Z201="",AA201="",AE201="",AF201="",AG201&lt;&gt;"Sim, confirmado",AH201=""),"Pendente",IF(AND(Z201&gt;=7,AA201&gt;=6),"Alta",IF(AND(Z201&gt;=5,AA201&gt;=4),"Média","Baixa")))))</f>
        <v/>
      </c>
      <c r="AE201" s="29" t="n"/>
      <c r="AF201" s="29" t="n"/>
      <c r="AG201" s="29" t="n"/>
      <c r="AH201" s="29" t="n"/>
      <c r="AI201" s="30">
        <f>IF(A201="","",IF(AE201="","País a verificar",IF(AE201="Brasil","Brasil","FORA DO BRASIL · "&amp;AE201)))</f>
        <v/>
      </c>
    </row>
    <row r="202" ht="28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7" t="n"/>
      <c r="K202" s="7" t="n"/>
      <c r="L202" s="6" t="n"/>
      <c r="M202" s="6" t="n"/>
      <c r="N202" s="8" t="n"/>
      <c r="O202" s="8" t="n"/>
      <c r="P202" s="7" t="n"/>
      <c r="Q202" s="6" t="n"/>
      <c r="R202" s="6" t="n"/>
      <c r="S202" s="9">
        <f>IF(A202="","",IF(M202="Não contatar","Não contatar",IF(OR(H202="Fechado",H202="Perdido"),"Encerrado",IF(K202="","Sem data",IF(K202&lt;TODAY(),"Atrasado",IF(K202=TODAY(),"Hoje","Agendado")))))))</f>
        <v/>
      </c>
      <c r="T202" s="18" t="n"/>
      <c r="U202" s="18" t="n"/>
      <c r="V202" s="18" t="n"/>
      <c r="W202" s="18" t="n"/>
      <c r="X202" s="19" t="n"/>
      <c r="Y202" s="18" t="n"/>
      <c r="Z202" s="20" t="n"/>
      <c r="AA202" s="20" t="n"/>
      <c r="AB202" s="21" t="n"/>
      <c r="AC202" s="21" t="n"/>
      <c r="AD202" s="22">
        <f>IF(A202="","",IF(OR(Y202="Descartado",M202="Não contatar",T202="Instagram",AG202="Não"),"Descartar",IF(OR(Y202&lt;&gt;"Verificado",U202="",W202="",X202="",Z202="",AA202="",AE202="",AF202="",AG202&lt;&gt;"Sim, confirmado",AH202=""),"Pendente",IF(AND(Z202&gt;=7,AA202&gt;=6),"Alta",IF(AND(Z202&gt;=5,AA202&gt;=4),"Média","Baixa")))))</f>
        <v/>
      </c>
      <c r="AE202" s="29" t="n"/>
      <c r="AF202" s="29" t="n"/>
      <c r="AG202" s="29" t="n"/>
      <c r="AH202" s="29" t="n"/>
      <c r="AI202" s="30">
        <f>IF(A202="","",IF(AE202="","País a verificar",IF(AE202="Brasil","Brasil","FORA DO BRASIL · "&amp;AE202)))</f>
        <v/>
      </c>
    </row>
    <row r="203" ht="28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7" t="n"/>
      <c r="K203" s="7" t="n"/>
      <c r="L203" s="6" t="n"/>
      <c r="M203" s="6" t="n"/>
      <c r="N203" s="8" t="n"/>
      <c r="O203" s="8" t="n"/>
      <c r="P203" s="7" t="n"/>
      <c r="Q203" s="6" t="n"/>
      <c r="R203" s="6" t="n"/>
      <c r="S203" s="9">
        <f>IF(A203="","",IF(M203="Não contatar","Não contatar",IF(OR(H203="Fechado",H203="Perdido"),"Encerrado",IF(K203="","Sem data",IF(K203&lt;TODAY(),"Atrasado",IF(K203=TODAY(),"Hoje","Agendado")))))))</f>
        <v/>
      </c>
      <c r="T203" s="18" t="n"/>
      <c r="U203" s="18" t="n"/>
      <c r="V203" s="18" t="n"/>
      <c r="W203" s="18" t="n"/>
      <c r="X203" s="19" t="n"/>
      <c r="Y203" s="18" t="n"/>
      <c r="Z203" s="20" t="n"/>
      <c r="AA203" s="20" t="n"/>
      <c r="AB203" s="21" t="n"/>
      <c r="AC203" s="21" t="n"/>
      <c r="AD203" s="22">
        <f>IF(A203="","",IF(OR(Y203="Descartado",M203="Não contatar",T203="Instagram",AG203="Não"),"Descartar",IF(OR(Y203&lt;&gt;"Verificado",U203="",W203="",X203="",Z203="",AA203="",AE203="",AF203="",AG203&lt;&gt;"Sim, confirmado",AH203=""),"Pendente",IF(AND(Z203&gt;=7,AA203&gt;=6),"Alta",IF(AND(Z203&gt;=5,AA203&gt;=4),"Média","Baixa")))))</f>
        <v/>
      </c>
      <c r="AE203" s="29" t="n"/>
      <c r="AF203" s="29" t="n"/>
      <c r="AG203" s="29" t="n"/>
      <c r="AH203" s="29" t="n"/>
      <c r="AI203" s="30">
        <f>IF(A203="","",IF(AE203="","País a verificar",IF(AE203="Brasil","Brasil","FORA DO BRASIL · "&amp;AE203)))</f>
        <v/>
      </c>
    </row>
    <row r="204" ht="28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7" t="n"/>
      <c r="K204" s="7" t="n"/>
      <c r="L204" s="6" t="n"/>
      <c r="M204" s="6" t="n"/>
      <c r="N204" s="8" t="n"/>
      <c r="O204" s="8" t="n"/>
      <c r="P204" s="7" t="n"/>
      <c r="Q204" s="6" t="n"/>
      <c r="R204" s="6" t="n"/>
      <c r="S204" s="9">
        <f>IF(A204="","",IF(M204="Não contatar","Não contatar",IF(OR(H204="Fechado",H204="Perdido"),"Encerrado",IF(K204="","Sem data",IF(K204&lt;TODAY(),"Atrasado",IF(K204=TODAY(),"Hoje","Agendado")))))))</f>
        <v/>
      </c>
      <c r="T204" s="18" t="n"/>
      <c r="U204" s="18" t="n"/>
      <c r="V204" s="18" t="n"/>
      <c r="W204" s="18" t="n"/>
      <c r="X204" s="19" t="n"/>
      <c r="Y204" s="18" t="n"/>
      <c r="Z204" s="20" t="n"/>
      <c r="AA204" s="20" t="n"/>
      <c r="AB204" s="21" t="n"/>
      <c r="AC204" s="21" t="n"/>
      <c r="AD204" s="22">
        <f>IF(A204="","",IF(OR(Y204="Descartado",M204="Não contatar",T204="Instagram",AG204="Não"),"Descartar",IF(OR(Y204&lt;&gt;"Verificado",U204="",W204="",X204="",Z204="",AA204="",AE204="",AF204="",AG204&lt;&gt;"Sim, confirmado",AH204=""),"Pendente",IF(AND(Z204&gt;=7,AA204&gt;=6),"Alta",IF(AND(Z204&gt;=5,AA204&gt;=4),"Média","Baixa")))))</f>
        <v/>
      </c>
      <c r="AE204" s="29" t="n"/>
      <c r="AF204" s="29" t="n"/>
      <c r="AG204" s="29" t="n"/>
      <c r="AH204" s="29" t="n"/>
      <c r="AI204" s="30">
        <f>IF(A204="","",IF(AE204="","País a verificar",IF(AE204="Brasil","Brasil","FORA DO BRASIL · "&amp;AE204)))</f>
        <v/>
      </c>
    </row>
  </sheetData>
  <mergeCells count="4">
    <mergeCell ref="T1:AD1"/>
    <mergeCell ref="T2:AD2"/>
    <mergeCell ref="A1:S1"/>
    <mergeCell ref="A2:S2"/>
  </mergeCells>
  <conditionalFormatting sqref="H5:H204">
    <cfRule type="containsText" priority="4" operator="containsText" dxfId="6" text="Fechado">
      <formula>NOT(ISERROR(SEARCH("Fechado",H5)))</formula>
    </cfRule>
  </conditionalFormatting>
  <conditionalFormatting sqref="M5:M204">
    <cfRule type="containsText" priority="3" operator="containsText" dxfId="4" text="Não contatar">
      <formula>NOT(ISERROR(SEARCH("Não contatar",M5)))</formula>
    </cfRule>
  </conditionalFormatting>
  <conditionalFormatting sqref="S5:S204">
    <cfRule type="containsText" priority="1" operator="containsText" dxfId="4" text="Atrasado">
      <formula>NOT(ISERROR(SEARCH("Atrasado",S5)))</formula>
    </cfRule>
    <cfRule type="containsText" priority="2" operator="containsText" dxfId="5" text="Hoje">
      <formula>NOT(ISERROR(SEARCH("Hoje",S5)))</formula>
    </cfRule>
  </conditionalFormatting>
  <conditionalFormatting sqref="Z5:Z204">
    <cfRule type="cellIs" priority="5" operator="greaterThanOrEqual" dxfId="8">
      <formula>7</formula>
    </cfRule>
  </conditionalFormatting>
  <conditionalFormatting sqref="AA5:AA204">
    <cfRule type="cellIs" priority="6" operator="greaterThanOrEqual" dxfId="8">
      <formula>7</formula>
    </cfRule>
  </conditionalFormatting>
  <conditionalFormatting sqref="AI5:AI204">
    <cfRule type="expression" priority="7" dxfId="9">
      <formula>AND($AE5&lt;&gt;"",$AE5&lt;&gt;"Brasil",$A5&lt;&gt;"")</formula>
    </cfRule>
  </conditionalFormatting>
  <dataValidations count="15">
    <dataValidation sqref="G5:G204" showDropDown="0" showInputMessage="1" showErrorMessage="1" allowBlank="1" errorTitle="Selecione uma opção" error="Use uma das opções da lista." promptTitle="Escolha na lista" prompt="Clique na seta para selecionar." type="list">
      <formula1>Origens</formula1>
    </dataValidation>
    <dataValidation sqref="H5:H204" showDropDown="0" showInputMessage="1" showErrorMessage="1" allowBlank="1" errorTitle="Selecione uma opção" error="Use uma das opções da lista." promptTitle="Escolha na lista" prompt="Clique na seta para selecionar." type="list">
      <formula1>Etapas</formula1>
    </dataValidation>
    <dataValidation sqref="M5:M204" showDropDown="0" showInputMessage="1" showErrorMessage="1" allowBlank="1" errorTitle="Selecione uma opção" error="Use uma das opções da lista." promptTitle="Escolha na lista" prompt="Clique na seta para selecionar." type="list">
      <formula1>Preferencias</formula1>
    </dataValidation>
    <dataValidation sqref="Q5:Q204" showDropDown="0" showInputMessage="1" showErrorMessage="1" allowBlank="1" errorTitle="Selecione uma opção" error="Use uma das opções da lista." promptTitle="Escolha na lista" prompt="Clique na seta para selecionar." type="list">
      <formula1>Motivos</formula1>
    </dataValidation>
    <dataValidation sqref="J5:J204" showDropDown="0" showInputMessage="1" showErrorMessage="1" allowBlank="1" error="Informe uma data válida (dia/mês/ano)." type="date">
      <formula1>43831</formula1>
      <formula2>73415</formula2>
    </dataValidation>
    <dataValidation sqref="K5:K204" showDropDown="0" showInputMessage="1" showErrorMessage="1" allowBlank="1" error="Informe uma data válida (dia/mês/ano)." type="date">
      <formula1>43831</formula1>
      <formula2>73415</formula2>
    </dataValidation>
    <dataValidation sqref="P5:P204" showDropDown="0" showInputMessage="1" showErrorMessage="1" allowBlank="1" error="Informe uma data válida (dia/mês/ano)." type="date">
      <formula1>43831</formula1>
      <formula2>73415</formula2>
    </dataValidation>
    <dataValidation sqref="N5:N204" showDropDown="0" showInputMessage="1" showErrorMessage="1" allowBlank="1" error="Informe um valor igual ou maior que zero." type="decimal" operator="greaterThanOrEqual">
      <formula1>0</formula1>
    </dataValidation>
    <dataValidation sqref="O5:O204" showDropDown="0" showInputMessage="1" showErrorMessage="1" allowBlank="1" error="Informe um valor igual ou maior que zero." type="decimal" operator="greaterThanOrEqual">
      <formula1>0</formula1>
    </dataValidation>
    <dataValidation sqref="T5:T204" showDropDown="0" showInputMessage="0" showErrorMessage="1" allowBlank="1" error="Escolha uma opção da lista. Instagram não é aceito como canal principal." type="list" errorStyle="stop">
      <formula1>"WhatsApp,Telefone,E-mail,Formulário"</formula1>
    </dataValidation>
    <dataValidation sqref="Y5:Y204" showDropDown="0" showInputMessage="0" showErrorMessage="1" allowBlank="1" error="Escolha uma opção da lista. Instagram não é aceito como canal principal." type="list" errorStyle="stop">
      <formula1>"Pendente,Verificado,Descartado"</formula1>
    </dataValidation>
    <dataValidation sqref="Z5:Z204" showDropDown="0" showInputMessage="0" showErrorMessage="1" allowBlank="1" error="Informe uma nota inteira de 0 a 10, sustentada por evidências." type="whole" operator="between">
      <formula1>0</formula1>
      <formula2>10</formula2>
    </dataValidation>
    <dataValidation sqref="AA5:AA204" showDropDown="0" showInputMessage="0" showErrorMessage="1" allowBlank="1" error="Informe uma nota inteira de 0 a 10, sustentada por evidências." type="whole" operator="between">
      <formula1>0</formula1>
      <formula2>10</formula2>
    </dataValidation>
    <dataValidation sqref="X5:X204" showDropDown="0" showInputMessage="0" showErrorMessage="0" allowBlank="1" type="date" operator="between">
      <formula1>DATE(2020,1,1)</formula1>
      <formula2>DATE(2100,12,31)</formula2>
    </dataValidation>
    <dataValidation sqref="AG5:AG204" showDropDown="0" showInputMessage="0" showErrorMessage="1" allowBlank="1" error="Escolha uma opção da lista." type="list">
      <formula1>Proprietarios</formula1>
    </dataValidation>
  </dataValidations>
  <pageMargins left="0.7" right="0.7" top="0.75" bottom="0.75" header="0.3" footer="0.3"/>
  <pageSetup orientation="landscape" paperSize="8" fitToHeight="0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Prospectar</t>
        </is>
      </c>
      <c r="B1" t="inlineStr">
        <is>
          <t>Google Maps</t>
        </is>
      </c>
      <c r="C1" t="inlineStr">
        <is>
          <t>A confirmar</t>
        </is>
      </c>
      <c r="D1" t="inlineStr">
        <is>
          <t>Sem interesse</t>
        </is>
      </c>
      <c r="F1" t="inlineStr">
        <is>
          <t>Sim, confirmado</t>
        </is>
      </c>
    </row>
    <row r="2">
      <c r="A2" t="inlineStr">
        <is>
          <t>Contatado</t>
        </is>
      </c>
      <c r="B2" t="inlineStr">
        <is>
          <t>Instagram</t>
        </is>
      </c>
      <c r="C2" t="inlineStr">
        <is>
          <t>Autorizado</t>
        </is>
      </c>
      <c r="D2" t="inlineStr">
        <is>
          <t>Sem orçamento</t>
        </is>
      </c>
      <c r="F2" t="inlineStr">
        <is>
          <t>Não</t>
        </is>
      </c>
    </row>
    <row r="3">
      <c r="A3" t="inlineStr">
        <is>
          <t>Em conversa</t>
        </is>
      </c>
      <c r="B3" t="inlineStr">
        <is>
          <t>Indicação</t>
        </is>
      </c>
      <c r="C3" t="inlineStr">
        <is>
          <t>Não contatar</t>
        </is>
      </c>
      <c r="D3" t="inlineStr">
        <is>
          <t>Já tem solução</t>
        </is>
      </c>
      <c r="F3" t="inlineStr">
        <is>
          <t>Não confirmado</t>
        </is>
      </c>
    </row>
    <row r="4">
      <c r="A4" t="inlineStr">
        <is>
          <t>Demonstração marcada</t>
        </is>
      </c>
      <c r="B4" t="inlineStr">
        <is>
          <t>WhatsApp</t>
        </is>
      </c>
      <c r="D4" t="inlineStr">
        <is>
          <t>Sem retorno</t>
        </is>
      </c>
    </row>
    <row r="5">
      <c r="A5" t="inlineStr">
        <is>
          <t>Proposta enviada</t>
        </is>
      </c>
      <c r="B5" t="inlineStr">
        <is>
          <t>E-mail</t>
        </is>
      </c>
      <c r="D5" t="inlineStr">
        <is>
          <t>Sem prioridade</t>
        </is>
      </c>
    </row>
    <row r="6">
      <c r="A6" t="inlineStr">
        <is>
          <t>Negociação</t>
        </is>
      </c>
      <c r="B6" t="inlineStr">
        <is>
          <t>Anúncio</t>
        </is>
      </c>
      <c r="D6" t="inlineStr">
        <is>
          <t>Outro</t>
        </is>
      </c>
    </row>
    <row r="7">
      <c r="A7" t="inlineStr">
        <is>
          <t>Fechado</t>
        </is>
      </c>
      <c r="B7" t="inlineStr">
        <is>
          <t>Evento</t>
        </is>
      </c>
    </row>
    <row r="8">
      <c r="A8" t="inlineStr">
        <is>
          <t>Perdido</t>
        </is>
      </c>
      <c r="B8" t="inlineStr">
        <is>
          <t>Outro</t>
        </is>
      </c>
    </row>
    <row r="9">
      <c r="A9" t="inlineStr">
        <is>
          <t>Retomar depois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A17E68"/>
    <outlinePr summaryBelow="1" summaryRight="1"/>
    <pageSetUpPr fitToPage="1"/>
  </sheetPr>
  <dimension ref="B2:M35"/>
  <sheetViews>
    <sheetView showGridLines="0" workbookViewId="0">
      <selection activeCell="A1" sqref="A1"/>
    </sheetView>
  </sheetViews>
  <sheetFormatPr baseColWidth="8" defaultRowHeight="15"/>
  <cols>
    <col width="3.7109375" customWidth="1" min="1" max="1"/>
    <col width="12.7109375" customWidth="1" min="2" max="13"/>
  </cols>
  <sheetData>
    <row r="2">
      <c r="B2" s="1" t="inlineStr">
        <is>
          <t>Resumo comercial</t>
        </is>
      </c>
    </row>
    <row r="3"/>
    <row r="5">
      <c r="B5" s="2" t="inlineStr">
        <is>
          <t>Indicadores calculados a partir das clínicas preenchidas na aba CRM.</t>
        </is>
      </c>
    </row>
    <row r="7">
      <c r="B7" s="10" t="inlineStr">
        <is>
          <t>Clínicas cadastradas</t>
        </is>
      </c>
      <c r="F7" s="10" t="inlineStr">
        <is>
          <t>Retornos atrasados</t>
        </is>
      </c>
      <c r="J7" s="10" t="inlineStr">
        <is>
          <t>Retornos para hoje</t>
        </is>
      </c>
    </row>
    <row r="8">
      <c r="B8" s="11">
        <f>COUNTA(CRM!A5:A204)</f>
        <v/>
      </c>
      <c r="F8" s="11">
        <f>COUNTIF(CRM!S5:S204,"Atrasado")</f>
        <v/>
      </c>
      <c r="J8" s="11">
        <f>COUNTIF(CRM!S5:S204,"Hoje")</f>
        <v/>
      </c>
    </row>
    <row r="9"/>
    <row r="11">
      <c r="B11" s="10" t="inlineStr">
        <is>
          <t>Contratos fechados</t>
        </is>
      </c>
      <c r="F11" s="10" t="inlineStr">
        <is>
          <t>Implantação fechada</t>
        </is>
      </c>
      <c r="J11" s="10" t="inlineStr">
        <is>
          <t>Mensalidade contratada</t>
        </is>
      </c>
    </row>
    <row r="12">
      <c r="B12" s="11">
        <f>COUNTIFS(CRM!A5:A204,"&lt;&gt;",CRM!H5:H204,"Fechado")</f>
        <v/>
      </c>
      <c r="F12" s="12">
        <f>SUMIFS(CRM!N5:N204,CRM!A5:A204,"&lt;&gt;",CRM!H5:H204,"Fechado")</f>
        <v/>
      </c>
      <c r="J12" s="12">
        <f>SUMIFS(CRM!O5:O204,CRM!A5:A204,"&lt;&gt;",CRM!H5:H204,"Fechado")</f>
        <v/>
      </c>
    </row>
    <row r="13"/>
    <row r="16">
      <c r="B16" s="3" t="inlineStr">
        <is>
          <t>Funil por etapa</t>
        </is>
      </c>
    </row>
    <row r="17">
      <c r="B17" s="3" t="inlineStr">
        <is>
          <t>Etapa</t>
        </is>
      </c>
      <c r="E17" s="3" t="inlineStr">
        <is>
          <t>Clínicas</t>
        </is>
      </c>
    </row>
    <row r="18">
      <c r="B18" s="4" t="inlineStr">
        <is>
          <t>Prospectar</t>
        </is>
      </c>
      <c r="E18" s="13">
        <f>COUNTIFS(CRM!A5:A204,"&lt;&gt;",CRM!H5:H204,B18)</f>
        <v/>
      </c>
    </row>
    <row r="19">
      <c r="B19" s="4" t="inlineStr">
        <is>
          <t>Contatado</t>
        </is>
      </c>
      <c r="E19" s="13">
        <f>COUNTIFS(CRM!A5:A204,"&lt;&gt;",CRM!H5:H204,B19)</f>
        <v/>
      </c>
    </row>
    <row r="20">
      <c r="B20" s="4" t="inlineStr">
        <is>
          <t>Em conversa</t>
        </is>
      </c>
      <c r="E20" s="13">
        <f>COUNTIFS(CRM!A5:A204,"&lt;&gt;",CRM!H5:H204,B20)</f>
        <v/>
      </c>
    </row>
    <row r="21">
      <c r="B21" s="4" t="inlineStr">
        <is>
          <t>Demonstração marcada</t>
        </is>
      </c>
      <c r="E21" s="13">
        <f>COUNTIFS(CRM!A5:A204,"&lt;&gt;",CRM!H5:H204,B21)</f>
        <v/>
      </c>
    </row>
    <row r="22">
      <c r="B22" s="4" t="inlineStr">
        <is>
          <t>Proposta enviada</t>
        </is>
      </c>
      <c r="E22" s="13">
        <f>COUNTIFS(CRM!A5:A204,"&lt;&gt;",CRM!H5:H204,B22)</f>
        <v/>
      </c>
    </row>
    <row r="23">
      <c r="B23" s="4" t="inlineStr">
        <is>
          <t>Negociação</t>
        </is>
      </c>
      <c r="E23" s="13">
        <f>COUNTIFS(CRM!A5:A204,"&lt;&gt;",CRM!H5:H204,B23)</f>
        <v/>
      </c>
    </row>
    <row r="24">
      <c r="B24" s="4" t="inlineStr">
        <is>
          <t>Fechado</t>
        </is>
      </c>
      <c r="E24" s="13">
        <f>COUNTIFS(CRM!A5:A204,"&lt;&gt;",CRM!H5:H204,B24)</f>
        <v/>
      </c>
    </row>
    <row r="25">
      <c r="B25" s="4" t="inlineStr">
        <is>
          <t>Perdido</t>
        </is>
      </c>
      <c r="E25" s="13">
        <f>COUNTIFS(CRM!A5:A204,"&lt;&gt;",CRM!H5:H204,B25)</f>
        <v/>
      </c>
    </row>
    <row r="26">
      <c r="B26" s="4" t="inlineStr">
        <is>
          <t>Retomar depois</t>
        </is>
      </c>
      <c r="E26" s="13">
        <f>COUNTIFS(CRM!A5:A204,"&lt;&gt;",CRM!H5:H204,B26)</f>
        <v/>
      </c>
    </row>
    <row r="29">
      <c r="B29" s="10" t="inlineStr">
        <is>
          <t>Pipeline de propostas (implantação)</t>
        </is>
      </c>
    </row>
    <row r="30">
      <c r="B30" s="12">
        <f>SUMIFS(CRM!N5:N204,CRM!A5:A204,"&lt;&gt;",CRM!H5:H204,"Proposta enviada")+SUMIFS(CRM!N5:N204,CRM!A5:A204,"&lt;&gt;",CRM!H5:H204,"Negociação")</f>
        <v/>
      </c>
    </row>
    <row r="31"/>
    <row r="33">
      <c r="B33" s="5" t="inlineStr">
        <is>
          <t>Mensalidade contratada é a soma das propostas marcadas como Fechado; não representa pagamentos recebidos. O pipeline considera implantação das propostas em negociação, sem estimar probabilidade de fechamento. Registre cobranças e recebimentos em um controle financeiro separado.</t>
        </is>
      </c>
    </row>
    <row r="34"/>
    <row r="35"/>
  </sheetData>
  <mergeCells count="27">
    <mergeCell ref="B23:D23"/>
    <mergeCell ref="B12:E13"/>
    <mergeCell ref="B8:E9"/>
    <mergeCell ref="F12:I13"/>
    <mergeCell ref="B19:D19"/>
    <mergeCell ref="F8:I9"/>
    <mergeCell ref="F11:I11"/>
    <mergeCell ref="B16:E16"/>
    <mergeCell ref="B7:E7"/>
    <mergeCell ref="B24:D24"/>
    <mergeCell ref="B20:D20"/>
    <mergeCell ref="B2:M3"/>
    <mergeCell ref="F7:I7"/>
    <mergeCell ref="B5:M5"/>
    <mergeCell ref="B33:M35"/>
    <mergeCell ref="B26:D26"/>
    <mergeCell ref="B11:E11"/>
    <mergeCell ref="J12:M13"/>
    <mergeCell ref="B25:D25"/>
    <mergeCell ref="B30:E31"/>
    <mergeCell ref="B22:D22"/>
    <mergeCell ref="J8:M9"/>
    <mergeCell ref="J11:M11"/>
    <mergeCell ref="B18:D18"/>
    <mergeCell ref="B29:E29"/>
    <mergeCell ref="B21:D21"/>
    <mergeCell ref="J7:M7"/>
  </mergeCells>
  <pageMargins left="0.7" right="0.7" top="0.75" bottom="0.75" header="0.3" footer="0.3"/>
  <pageSetup orientation="landscape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7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1" sqref="A1"/>
    </sheetView>
  </sheetViews>
  <sheetFormatPr baseColWidth="8" defaultRowHeight="15"/>
  <cols>
    <col width="28.7109375" customWidth="1" min="1" max="1"/>
    <col width="20.7109375" customWidth="1" min="2" max="2"/>
    <col width="23.7109375" customWidth="1" min="3" max="3"/>
    <col width="24.7109375" customWidth="1" min="4" max="4"/>
    <col width="31.7109375" customWidth="1" min="5" max="5"/>
    <col width="32.7109375" customWidth="1" min="6" max="6"/>
    <col width="18.7109375" customWidth="1" min="7" max="7"/>
    <col width="25.7109375" customWidth="1" min="8" max="8"/>
    <col width="42.7109375" customWidth="1" min="9" max="9"/>
    <col width="17.7109375" customWidth="1" min="10" max="11"/>
    <col width="42.7109375" customWidth="1" min="12" max="12"/>
    <col width="23.7109375" customWidth="1" min="13" max="13"/>
    <col width="24.7109375" customWidth="1" min="14" max="14"/>
    <col width="25.7109375" customWidth="1" min="15" max="15"/>
    <col width="19.7109375" customWidth="1" min="16" max="16"/>
    <col width="22.7109375" customWidth="1" min="17" max="17"/>
    <col width="45.7109375" customWidth="1" min="18" max="18"/>
    <col width="22.7109375" customWidth="1" min="19" max="19"/>
  </cols>
  <sheetData>
    <row r="1" ht="44" customHeight="1">
      <c r="A1" s="1" t="inlineStr">
        <is>
          <t>Exemplos fictícios · não entram no Resumo</t>
        </is>
      </c>
    </row>
    <row r="2" ht="32" customHeight="1">
      <c r="A2" s="2" t="inlineStr">
        <is>
          <t>Use estas três linhas como referência de preenchimento. Não são contatos reais. Cadastre suas clínicas somente na aba CRM.</t>
        </is>
      </c>
    </row>
    <row r="4" ht="44" customHeight="1">
      <c r="A4" t="inlineStr">
        <is>
          <t>Clínica</t>
        </is>
      </c>
      <c r="B4" t="inlineStr">
        <is>
          <t>Cidade / UF</t>
        </is>
      </c>
      <c r="C4" t="inlineStr">
        <is>
          <t>Responsável</t>
        </is>
      </c>
      <c r="D4" t="inlineStr">
        <is>
          <t>WhatsApp comercial</t>
        </is>
      </c>
      <c r="E4" t="inlineStr">
        <is>
          <t>E-mail comercial</t>
        </is>
      </c>
      <c r="F4" t="inlineStr">
        <is>
          <t>Instagram / site</t>
        </is>
      </c>
      <c r="G4" t="inlineStr">
        <is>
          <t>Origem</t>
        </is>
      </c>
      <c r="H4" t="inlineStr">
        <is>
          <t>Etapa</t>
        </is>
      </c>
      <c r="I4" t="inlineStr">
        <is>
          <t>Interesse / necessidade</t>
        </is>
      </c>
      <c r="J4" t="inlineStr">
        <is>
          <t>Último contato</t>
        </is>
      </c>
      <c r="K4" t="inlineStr">
        <is>
          <t>Próximo contato</t>
        </is>
      </c>
      <c r="L4" t="inlineStr">
        <is>
          <t>Próxima ação</t>
        </is>
      </c>
      <c r="M4" t="inlineStr">
        <is>
          <t>Preferência de contato</t>
        </is>
      </c>
      <c r="N4" t="inlineStr">
        <is>
          <t>Implantação proposta (R$)</t>
        </is>
      </c>
      <c r="O4" t="inlineStr">
        <is>
          <t>Mensalidade proposta (R$)</t>
        </is>
      </c>
      <c r="P4" t="inlineStr">
        <is>
          <t>Data do fechamento</t>
        </is>
      </c>
      <c r="Q4" t="inlineStr">
        <is>
          <t>Motivo da perda</t>
        </is>
      </c>
      <c r="R4" t="inlineStr">
        <is>
          <t>Observações</t>
        </is>
      </c>
      <c r="S4" t="inlineStr">
        <is>
          <t>Situação do retorno</t>
        </is>
      </c>
    </row>
    <row r="5" ht="60" customHeight="1">
      <c r="A5" s="4" t="inlineStr">
        <is>
          <t>Clínica Aurora · exemplo</t>
        </is>
      </c>
      <c r="B5" s="4" t="inlineStr">
        <is>
          <t>São Paulo / SP</t>
        </is>
      </c>
      <c r="C5" s="4" t="inlineStr">
        <is>
          <t>Responsável fictício</t>
        </is>
      </c>
      <c r="D5" s="4" t="n"/>
      <c r="E5" s="4" t="n"/>
      <c r="F5" s="4" t="n"/>
      <c r="G5" s="4" t="inlineStr">
        <is>
          <t>Instagram</t>
        </is>
      </c>
      <c r="H5" s="4" t="inlineStr">
        <is>
          <t>Demonstração marcada</t>
        </is>
      </c>
      <c r="I5" s="4" t="inlineStr">
        <is>
          <t>Quer organizar os pedidos do WhatsApp</t>
        </is>
      </c>
      <c r="J5" s="7" t="n">
        <v>46302</v>
      </c>
      <c r="K5" s="7" t="n">
        <v>46303</v>
      </c>
      <c r="L5" s="4" t="inlineStr">
        <is>
          <t>Apresentar o fluxo de solicitação e aprovação</t>
        </is>
      </c>
      <c r="M5" s="4" t="inlineStr">
        <is>
          <t>Autorizado</t>
        </is>
      </c>
      <c r="N5" s="8" t="n">
        <v>3490</v>
      </c>
      <c r="O5" s="8" t="n">
        <v>397</v>
      </c>
      <c r="P5" s="7" t="n"/>
      <c r="Q5" s="4" t="n"/>
      <c r="R5" s="4" t="inlineStr">
        <is>
          <t>Demonstração de 15 minutos</t>
        </is>
      </c>
      <c r="S5" s="4" t="inlineStr">
        <is>
          <t>Agendado</t>
        </is>
      </c>
    </row>
    <row r="6" ht="60" customHeight="1">
      <c r="A6" s="4" t="inlineStr">
        <is>
          <t>Clínica Horizonte · exemplo</t>
        </is>
      </c>
      <c r="B6" s="4" t="inlineStr">
        <is>
          <t>Campinas / SP</t>
        </is>
      </c>
      <c r="C6" s="4" t="inlineStr">
        <is>
          <t>Responsável fictício</t>
        </is>
      </c>
      <c r="D6" s="4" t="n"/>
      <c r="E6" s="4" t="n"/>
      <c r="F6" s="4" t="n"/>
      <c r="G6" s="4" t="inlineStr">
        <is>
          <t>Indicação</t>
        </is>
      </c>
      <c r="H6" s="4" t="inlineStr">
        <is>
          <t>Proposta enviada</t>
        </is>
      </c>
      <c r="I6" s="4" t="inlineStr">
        <is>
          <t>Precisa atualizar tratamentos e fotos</t>
        </is>
      </c>
      <c r="J6" s="7" t="n">
        <v>46300</v>
      </c>
      <c r="K6" s="7" t="n">
        <v>46302</v>
      </c>
      <c r="L6" s="4" t="inlineStr">
        <is>
          <t>Verificar dúvidas sobre a proposta</t>
        </is>
      </c>
      <c r="M6" s="4" t="inlineStr">
        <is>
          <t>Autorizado</t>
        </is>
      </c>
      <c r="N6" s="8" t="n">
        <v>3490</v>
      </c>
      <c r="O6" s="8" t="n">
        <v>397</v>
      </c>
      <c r="P6" s="7" t="n"/>
      <c r="Q6" s="4" t="n"/>
      <c r="R6" s="4" t="inlineStr">
        <is>
          <t>Combinar prazo após receber o material</t>
        </is>
      </c>
      <c r="S6" s="4" t="inlineStr">
        <is>
          <t>Hoje</t>
        </is>
      </c>
    </row>
    <row r="7" ht="60" customHeight="1">
      <c r="A7" s="4" t="inlineStr">
        <is>
          <t>Clínica Jardim · exemplo</t>
        </is>
      </c>
      <c r="B7" s="4" t="inlineStr">
        <is>
          <t>Curitiba / PR</t>
        </is>
      </c>
      <c r="C7" s="4" t="inlineStr">
        <is>
          <t>Responsável fictício</t>
        </is>
      </c>
      <c r="D7" s="4" t="n"/>
      <c r="E7" s="4" t="n"/>
      <c r="F7" s="4" t="n"/>
      <c r="G7" s="4" t="inlineStr">
        <is>
          <t>Google Maps</t>
        </is>
      </c>
      <c r="H7" s="4" t="inlineStr">
        <is>
          <t>Perdido</t>
        </is>
      </c>
      <c r="I7" s="4" t="inlineStr">
        <is>
          <t>Sem prioridade neste momento</t>
        </is>
      </c>
      <c r="J7" s="7" t="n">
        <v>46302</v>
      </c>
      <c r="K7" s="7" t="n"/>
      <c r="L7" s="4" t="inlineStr">
        <is>
          <t>Encerrar os retornos</t>
        </is>
      </c>
      <c r="M7" s="4" t="inlineStr">
        <is>
          <t>Não contatar</t>
        </is>
      </c>
      <c r="N7" s="8" t="n"/>
      <c r="O7" s="8" t="n"/>
      <c r="P7" s="7" t="n"/>
      <c r="Q7" s="4" t="inlineStr">
        <is>
          <t>Sem prioridade</t>
        </is>
      </c>
      <c r="R7" s="4" t="inlineStr">
        <is>
          <t>Respeitar a preferência registrada</t>
        </is>
      </c>
      <c r="S7" s="4" t="inlineStr">
        <is>
          <t>Não contatar</t>
        </is>
      </c>
    </row>
  </sheetData>
  <mergeCells count="2">
    <mergeCell ref="A2:S2"/>
    <mergeCell ref="A1:S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63" customWidth="1" min="2" max="2"/>
    <col width="63" customWidth="1" min="3" max="3"/>
  </cols>
  <sheetData>
    <row r="1" ht="36" customHeight="1">
      <c r="A1" s="23" t="inlineStr">
        <is>
          <t>COMO QUALIFICAR AS CLÍNICAS</t>
        </is>
      </c>
      <c r="B1" s="24" t="inlineStr">
        <is>
          <t>Potencial comercial e capacidade estimada</t>
        </is>
      </c>
      <c r="C1" s="24" t="inlineStr"/>
    </row>
    <row r="2" ht="62" customHeight="1">
      <c r="A2" s="25" t="inlineStr">
        <is>
          <t>Limite da estimativa</t>
        </is>
      </c>
      <c r="B2" s="26" t="inlineStr">
        <is>
          <t>Capacidade estimada é um indicador de estrutura comercial aparente. Não é renda, faturamento, lucro nem orçamento conhecido.</t>
        </is>
      </c>
      <c r="C2" s="26" t="inlineStr">
        <is>
          <t>Sem dados suficientes: deixe a nota vazia. Não use zero para representar desconhecimento.</t>
        </is>
      </c>
    </row>
    <row r="3" ht="62" customHeight="1">
      <c r="A3" s="25" t="inlineStr">
        <is>
          <t>Filtro obrigatório</t>
        </is>
      </c>
      <c r="B3" s="26" t="inlineStr">
        <is>
          <t>Canal comercial público: WhatsApp, telefone, e-mail ou formulário.</t>
        </is>
      </c>
      <c r="C3" s="26" t="inlineStr">
        <is>
          <t>Se o único canal for Instagram, descarte. Ter Instagram não desqualifica uma clínica que tenha outro canal comercial verificado.</t>
        </is>
      </c>
    </row>
    <row r="4" ht="62" customHeight="1">
      <c r="A4" s="25" t="inlineStr">
        <is>
          <t>Verificação</t>
        </is>
      </c>
      <c r="B4" s="26" t="inlineStr">
        <is>
          <t>Registre URL da fonte oficial, data da consulta e contato publicado.</t>
        </is>
      </c>
      <c r="C4" s="26" t="inlineStr">
        <is>
          <t>Não invente números, e-mails, nomes de responsáveis nem situação do site.</t>
        </is>
      </c>
    </row>
    <row r="5" ht="62" customHeight="1">
      <c r="A5" s="23" t="inlineStr">
        <is>
          <t>POTENCIAL · soma de 5 critérios</t>
        </is>
      </c>
      <c r="B5" s="24" t="inlineStr">
        <is>
          <t>0, 1 ou 2 pontos por critério; total de 0 a 10.</t>
        </is>
      </c>
      <c r="C5" s="24" t="inlineStr">
        <is>
          <t>Atribua a soma somente após investigar os cinco critérios.</t>
        </is>
      </c>
    </row>
    <row r="6" ht="62" customHeight="1">
      <c r="A6" s="25" t="inlineStr">
        <is>
          <t>1. Compatibilidade do segmento</t>
        </is>
      </c>
      <c r="B6" s="26" t="inlineStr">
        <is>
          <t>0: fora do escopo; 1: serviços parcialmente aderentes; 2: clínica estética com operação aderente.</t>
        </is>
      </c>
      <c r="C6" s="26" t="inlineStr">
        <is>
          <t>Fonte: serviços descritos no site oficial.</t>
        </is>
      </c>
    </row>
    <row r="7" ht="62" customHeight="1">
      <c r="A7" s="25" t="inlineStr">
        <is>
          <t>2. Oportunidade no agendamento</t>
        </is>
      </c>
      <c r="B7" s="26" t="inlineStr">
        <is>
          <t>0: fluxo completo já existente; 1: fluxo parcial; 2: somente contato manual para pedir horário.</t>
        </is>
      </c>
      <c r="C7" s="26" t="inlineStr">
        <is>
          <t>Não afirmar que não há sistema interno: observar apenas o fluxo público e confirmar em conversa.</t>
        </is>
      </c>
    </row>
    <row r="8" ht="62" customHeight="1">
      <c r="A8" s="25" t="inlineStr">
        <is>
          <t>3. Oportunidade no conteúdo</t>
        </is>
      </c>
      <c r="B8" s="26" t="inlineStr">
        <is>
          <t>0: site atende bem à apresentação; 1: melhorias pontuais; 2: falta relevante de organização, conteúdo ou experiência mobile.</t>
        </is>
      </c>
      <c r="C8" s="26" t="inlineStr">
        <is>
          <t>Descrever problemas observáveis. Não afirmar autoria por IA pela aparência.</t>
        </is>
      </c>
    </row>
    <row r="9" ht="62" customHeight="1">
      <c r="A9" s="25" t="inlineStr">
        <is>
          <t>4. Adequação ao painel</t>
        </is>
      </c>
      <c r="B9" s="26" t="inlineStr">
        <is>
          <t>0: pouca necessidade aparente; 1: alguns serviços/equipe; 2: catálogo ou equipe que se beneficiam da gestão.</t>
        </is>
      </c>
      <c r="C9" s="26" t="inlineStr">
        <is>
          <t>Necessidade operacional real deve ser confirmada com a clínica.</t>
        </is>
      </c>
    </row>
    <row r="10" ht="62" customHeight="1">
      <c r="A10" s="25" t="inlineStr">
        <is>
          <t>5. Acesso comercial</t>
        </is>
      </c>
      <c r="B10" s="26" t="inlineStr">
        <is>
          <t>0: sem canal elegível (descartar); 1: canal geral; 2: canal comercial claro e caminho ao responsável.</t>
        </is>
      </c>
      <c r="C10" s="26" t="inlineStr">
        <is>
          <t>Instagram como único canal não entra na prospecção.</t>
        </is>
      </c>
    </row>
    <row r="11" ht="62" customHeight="1">
      <c r="A11" s="23" t="inlineStr">
        <is>
          <t>CAPACIDADE ESTIMADA · 5 critérios</t>
        </is>
      </c>
      <c r="B11" s="24" t="inlineStr">
        <is>
          <t>Sinais públicos ou respostas da clínica, 0–2 por critério; total 0–10.</t>
        </is>
      </c>
      <c r="C11" s="24" t="inlineStr">
        <is>
          <t>Não confirma orçamento disponível. Referência comercial: implantação de R$ 3.490 + R$ 397/mês. Confirme capacidade real em conversa.</t>
        </is>
      </c>
    </row>
    <row r="12" ht="62" customHeight="1">
      <c r="A12" s="25" t="inlineStr">
        <is>
          <t>1. Estrutura / unidades</t>
        </is>
      </c>
      <c r="B12" s="26" t="inlineStr">
        <is>
          <t>0: operação individual declarada; 1: uma clínica estruturada; 2: múltiplas unidades publicadas.</t>
        </is>
      </c>
      <c r="C12" s="26" t="inlineStr">
        <is>
          <t>Não inferir unidades por fotos ou seguidores.</t>
        </is>
      </c>
    </row>
    <row r="13" ht="62" customHeight="1">
      <c r="A13" s="25" t="inlineStr">
        <is>
          <t>2. Equipe publicada</t>
        </is>
      </c>
      <c r="B13" s="26" t="inlineStr">
        <is>
          <t>0: profissional individual declarado; 1: equipe pequena; 2: equipe multiprofissional descrita.</t>
        </is>
      </c>
      <c r="C13" s="26" t="inlineStr">
        <is>
          <t>Quantidade só deve ser anotada quando publicada.</t>
        </is>
      </c>
    </row>
    <row r="14" ht="62" customHeight="1">
      <c r="A14" s="25" t="inlineStr">
        <is>
          <t>3. Variedade de serviços</t>
        </is>
      </c>
      <c r="B14" s="26" t="inlineStr">
        <is>
          <t>0: escopo reduzido; 1: alguns tratamentos; 2: catálogo amplo, com programas ou pacotes publicados.</t>
        </is>
      </c>
      <c r="C14" s="26" t="inlineStr">
        <is>
          <t>Variedade sugere complexidade comercial; não prova receita.</t>
        </is>
      </c>
    </row>
    <row r="15" ht="62" customHeight="1">
      <c r="A15" s="25" t="inlineStr">
        <is>
          <t>4. Investimento digital observável</t>
        </is>
      </c>
      <c r="B15" s="26" t="inlineStr">
        <is>
          <t>0: ausência confirmada; 1: site profissional ativo; 2: investimento digital adicional verificável.</t>
        </is>
      </c>
      <c r="C15" s="26" t="inlineStr">
        <is>
          <t>Não supor gasto em anúncios sem evidência; marcar desconhecido quando necessário.</t>
        </is>
      </c>
    </row>
    <row r="16" ht="62" customHeight="1">
      <c r="A16" s="25" t="inlineStr">
        <is>
          <t>5. Posicionamento publicado</t>
        </is>
      </c>
      <c r="B16" s="26" t="inlineStr">
        <is>
          <t>0: oferta econômica explícita; 1: posicionamento intermediário explícito; 2: posicionamento premium explicitamente publicado.</t>
        </is>
      </c>
      <c r="C16" s="26" t="inlineStr">
        <is>
          <t>Usar preços, programas ou posicionamento declarado no site, não aparência, seguidores ou suposição de riqueza. Caso desconhecido, manter a nota pendente.</t>
        </is>
      </c>
    </row>
    <row r="17" ht="62" customHeight="1">
      <c r="A17" s="23" t="inlineStr">
        <is>
          <t>PRIORIDADE</t>
        </is>
      </c>
      <c r="B17" s="24" t="inlineStr">
        <is>
          <t>Alta: potencial &gt;=7 e capacidade &gt;=6. Média: potencial &gt;=5 e capacidade &gt;=4. Demais: baixa.</t>
        </is>
      </c>
      <c r="C17" s="24" t="inlineStr">
        <is>
          <t>Só é calculada com contato, fonte, data, notas e verificação completos. Não contatar ou descartado prevalecem.</t>
        </is>
      </c>
    </row>
    <row r="18" ht="62" customHeight="1">
      <c r="A18" s="25" t="inlineStr">
        <is>
          <t>Uso comercial</t>
        </is>
      </c>
      <c r="B18" s="26" t="inlineStr">
        <is>
          <t>Priorize identificar problemas e apresentar uma solução compatível.</t>
        </is>
      </c>
      <c r="C18" s="26" t="inlineStr">
        <is>
          <t>A pontuação não substitui uma conversa de qualificação.</t>
        </is>
      </c>
    </row>
    <row r="19" ht="70" customHeight="1">
      <c r="A19" s="31" t="inlineStr">
        <is>
          <t>Proprietário brasileiro</t>
        </is>
      </c>
      <c r="B19" s="31" t="inlineStr">
        <is>
          <t>Identifique o proprietário e registre uma fonte pública que confirme sua nacionalidade brasileira.</t>
        </is>
      </c>
      <c r="C19" s="31" t="inlineStr">
        <is>
          <t>Não deduzir pela língua, pelo nome, por localização da clínica ou por registro profissional. Sem confirmação: prioridade Pendente. Proprietário não brasileiro: descartar.</t>
        </is>
      </c>
    </row>
    <row r="20" ht="70" customHeight="1">
      <c r="A20" s="31" t="inlineStr">
        <is>
          <t>Clínica fora do Brasil</t>
        </is>
      </c>
      <c r="B20" s="31" t="inlineStr">
        <is>
          <t>Preencha o país da clínica. A última coluna destaca automaticamente FORA DO BRASIL.</t>
        </is>
      </c>
      <c r="C20" s="31" t="inlineStr">
        <is>
          <t>Localização internacional não elimina a clínica se o proprietário brasileiro estiver confirmado.</t>
        </is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6" customWidth="1" min="2" max="2"/>
    <col width="58" customWidth="1" min="3" max="3"/>
    <col width="60" customWidth="1" min="4" max="4"/>
  </cols>
  <sheetData>
    <row r="1" ht="32" customHeight="1">
      <c r="A1" s="27" t="inlineStr">
        <is>
          <t>SEGMENTO</t>
        </is>
      </c>
      <c r="B1" s="27" t="inlineStr">
        <is>
          <t>Necessidades a investigar</t>
        </is>
      </c>
      <c r="C1" s="27" t="inlineStr">
        <is>
          <t>Oferta pertinente</t>
        </is>
      </c>
      <c r="D1" s="27" t="inlineStr">
        <is>
          <t>Questões de qualificação</t>
        </is>
      </c>
    </row>
    <row r="2" ht="80" customHeight="1">
      <c r="A2" s="28" t="inlineStr">
        <is>
          <t>Clínicas de estética facial</t>
        </is>
      </c>
      <c r="B2" s="28" t="inlineStr">
        <is>
          <t>Apresentação de tratamentos, solicitação de horários, aprovação, conteúdo atualizado.</t>
        </is>
      </c>
      <c r="C2" s="28" t="inlineStr">
        <is>
          <t>Site, perfil do cliente, solicitações e painel de conteúdo.</t>
        </is>
      </c>
      <c r="D2" s="28" t="inlineStr">
        <is>
          <t>Como recebem pedidos? Quem confirma? Como atualizam tratamentos e fotos?</t>
        </is>
      </c>
    </row>
    <row r="3" ht="80" customHeight="1">
      <c r="A3" s="28" t="inlineStr">
        <is>
          <t>Clínicas corporais e integradas</t>
        </is>
      </c>
      <c r="B3" s="28" t="inlineStr">
        <is>
          <t>Diversidade de tratamentos e equipe; pedidos por vários canais.</t>
        </is>
      </c>
      <c r="C3" s="28" t="inlineStr">
        <is>
          <t>Catálogo organizado, painel e cadastro de clientes.</t>
        </is>
      </c>
      <c r="D3" s="28" t="inlineStr">
        <is>
          <t>Quantos profissionais atendem? Onde registram os pedidos?</t>
        </is>
      </c>
    </row>
    <row r="4" ht="80" customHeight="1">
      <c r="A4" s="28" t="inlineStr">
        <is>
          <t>Institutos e clínicas com várias unidades</t>
        </is>
      </c>
      <c r="B4" s="28" t="inlineStr">
        <is>
          <t>Identidade visual, contatos corretos por unidade e responsabilidade pelo conteúdo.</t>
        </is>
      </c>
      <c r="C4" s="28" t="inlineStr">
        <is>
          <t>Sites configurados por clínica e painel central, conforme escopo disponível.</t>
        </is>
      </c>
      <c r="D4" s="28" t="inlineStr">
        <is>
          <t>Cada unidade tem agenda própria? Quem administra o sistema atual?</t>
        </is>
      </c>
    </row>
    <row r="5" ht="80" customHeight="1">
      <c r="A5" s="28" t="inlineStr">
        <is>
          <t>Profissionais individuais</t>
        </is>
      </c>
      <c r="B5" s="28" t="inlineStr">
        <is>
          <t>Apresentação profissional e facilidade de contato; orçamento pode exigir escopo menor.</t>
        </is>
      </c>
      <c r="C5" s="28" t="inlineStr">
        <is>
          <t>Implantação simples e suporte delimitado.</t>
        </is>
      </c>
      <c r="D5" s="28" t="inlineStr">
        <is>
          <t>O problema justifica painel completo ou um projeto menor?</t>
        </is>
      </c>
    </row>
    <row r="6" ht="80" customHeight="1">
      <c r="A6" s="28" t="inlineStr">
        <is>
          <t>Clínicas com sistema já implantado</t>
        </is>
      </c>
      <c r="B6" s="28" t="inlineStr">
        <is>
          <t>Integrações e preservação da operação atual.</t>
        </is>
      </c>
      <c r="C6" s="28" t="inlineStr">
        <is>
          <t>Avaliar complementar o site; não prometer substituir ou integrar sem análise.</t>
        </is>
      </c>
      <c r="D6" s="28" t="inlineStr">
        <is>
          <t>Qual sistema utilizam? Há contrato ou integração disponível?</t>
        </is>
      </c>
    </row>
    <row r="7" ht="80" customHeight="1">
      <c r="A7" s="28" t="inlineStr">
        <is>
          <t>Antes de vender</t>
        </is>
      </c>
      <c r="B7" s="28" t="inlineStr">
        <is>
          <t>Validar cadastro, login, pedido de horário e aprovação em produção.</t>
        </is>
      </c>
      <c r="C7" s="28" t="inlineStr">
        <is>
          <t>Demonstração com dados fictícios, escopo, treinamento e contrato.</t>
        </is>
      </c>
      <c r="D7" s="28" t="inlineStr">
        <is>
          <t>Quais funções estão prontas? Quem paga infraestrutura e domínio?</t>
        </is>
      </c>
    </row>
    <row r="8" ht="80" customHeight="1">
      <c r="A8" s="28" t="inlineStr">
        <is>
          <t>Recursos futuros</t>
        </is>
      </c>
      <c r="B8" s="28" t="inlineStr">
        <is>
          <t>Lembretes, pagamento, lista de espera e integrações dependem de implementação.</t>
        </is>
      </c>
      <c r="C8" s="28" t="inlineStr">
        <is>
          <t>Apresentar como opcionais em evolução, não como entrega pronta.</t>
        </is>
      </c>
      <c r="D8" s="28" t="inlineStr">
        <is>
          <t>Há necessidade e orçamento para desenvolver?</t>
        </is>
      </c>
    </row>
    <row r="9" ht="80" customHeight="1">
      <c r="A9" s="28" t="inlineStr">
        <is>
          <t>Limite desta análise</t>
        </is>
      </c>
      <c r="B9" s="28" t="inlineStr">
        <is>
          <t>Mapa comercial elaborado a partir do escopo do projeto; não é levantamento estatístico do setor.</t>
        </is>
      </c>
      <c r="C9" s="28" t="inlineStr">
        <is>
          <t>Pesquisa externa bloqueada neste ambiente.</t>
        </is>
      </c>
      <c r="D9" s="28" t="inlineStr">
        <is>
          <t>Dados de mercado, concorrentes e novos contatos ainda exigem fontes oficiais acessíveis.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Quartier</dc:creator>
  <dc:title xmlns:dc="http://purl.org/dc/elements/1.1/">CRM comercial para clínicas de estética</dc:title>
  <dc:description xmlns:dc="http://purl.org/dc/elements/1.1/">Modelo editável. Exemplos fictícios separados da base real.</dc:description>
  <dc:subject xmlns:dc="http://purl.org/dc/elements/1.1/">Prospecção, propostas e acompanhamento de vendas</dc:subject>
  <dcterms:created xmlns:dcterms="http://purl.org/dc/terms/" xmlns:xsi="http://www.w3.org/2001/XMLSchema-instance" xsi:type="dcterms:W3CDTF">2026-10-07T21:43:28Z</dcterms:created>
  <dcterms:modified xmlns:dcterms="http://purl.org/dc/terms/" xmlns:xsi="http://www.w3.org/2001/XMLSchema-instance" xsi:type="dcterms:W3CDTF">2026-10-07T22:19:47Z</dcterms:modified>
  <cp:lastModifiedBy>Quartier</cp:lastModifiedBy>
</cp:coreProperties>
</file>