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4"/>
  </bookViews>
  <sheets>
    <sheet name="Listas" sheetId="1" state="hidden" r:id="rId1"/>
    <sheet name="CRM" sheetId="2" r:id="rId2"/>
    <sheet name="Qualificados" sheetId="3" r:id="rId3"/>
    <sheet name="Pendentes" sheetId="4" r:id="rId4"/>
    <sheet name="Resumo" sheetId="5" r:id="rId5"/>
    <sheet name="Como usar" sheetId="6" r:id="rId6"/>
    <sheet name="Critérios das notas" sheetId="7" r:id="rId7"/>
    <sheet name="Mapa do segmento" sheetId="8" r:id="rId8"/>
    <sheet name="Fontes" sheetId="9" r:id="rId9"/>
    <sheet name="Descartados" sheetId="10" r:id="rId10"/>
  </sheets>
  <definedNames>
    <definedName name="_xlnm._FilterDatabase" localSheetId="1" hidden="1">CRM!$A$4:$AL$204</definedName>
    <definedName name="_xlnm._FilterDatabase" localSheetId="3" hidden="1">Pendentes!$A$4:$AL$15</definedName>
    <definedName name="_xlnm._FilterDatabase" localSheetId="2" hidden="1">Qualificados!$A$4:$AL$6</definedName>
    <definedName name="Etapas">'Listas'!$A$1:$A$9</definedName>
  </definedNames>
  <calcPr calcId="124519" fullCalcOnLoad="1"/>
</workbook>
</file>

<file path=xl/sharedStrings.xml><?xml version="1.0" encoding="utf-8"?>
<sst xmlns="http://schemas.openxmlformats.org/spreadsheetml/2006/main" count="972" uniqueCount="324">
  <si>
    <t>Prospectar</t>
  </si>
  <si>
    <t>Contatado</t>
  </si>
  <si>
    <t>Em conversa</t>
  </si>
  <si>
    <t>Demonstração marcada</t>
  </si>
  <si>
    <t>Proposta enviada</t>
  </si>
  <si>
    <t>Negociação</t>
  </si>
  <si>
    <t>Fechado</t>
  </si>
  <si>
    <t>Perdido</t>
  </si>
  <si>
    <t>Retomar depois</t>
  </si>
  <si>
    <t>CRM de clínicas • CRM</t>
  </si>
  <si>
    <t>Pesquisa em 07/10/2026. Notas estimadas por evidências públicas; sem contato enviado. Edite sua cópia na aba CRM. Abas Qualificados/Pendentes são retratos da pesquisa.</t>
  </si>
  <si>
    <t>Clínica</t>
  </si>
  <si>
    <t>Cidade/UF</t>
  </si>
  <si>
    <t>Responsável</t>
  </si>
  <si>
    <t>WhatsApp comercial</t>
  </si>
  <si>
    <t>E-mail comercial</t>
  </si>
  <si>
    <t>Instagram/site</t>
  </si>
  <si>
    <t>Origem</t>
  </si>
  <si>
    <t>Etapa</t>
  </si>
  <si>
    <t>Interesse/necessidade</t>
  </si>
  <si>
    <t>Último contato</t>
  </si>
  <si>
    <t>Próximo contato</t>
  </si>
  <si>
    <t>Próxima ação</t>
  </si>
  <si>
    <t>Preferência de contato</t>
  </si>
  <si>
    <t>Implantação proposta R$</t>
  </si>
  <si>
    <t>Mensalidade proposta R$</t>
  </si>
  <si>
    <t>Data fechamento</t>
  </si>
  <si>
    <t>Motivo perda</t>
  </si>
  <si>
    <t>Observações</t>
  </si>
  <si>
    <t>Situação retorno</t>
  </si>
  <si>
    <t>Canal principal</t>
  </si>
  <si>
    <t>Contato principal</t>
  </si>
  <si>
    <t>Site verificado</t>
  </si>
  <si>
    <t>Fonte pública contato</t>
  </si>
  <si>
    <t>Data verificação</t>
  </si>
  <si>
    <t>Verificação</t>
  </si>
  <si>
    <t>Potencial 0–10</t>
  </si>
  <si>
    <t>Capacidade estimada 0–10</t>
  </si>
  <si>
    <t>Evidências potencial</t>
  </si>
  <si>
    <t>Evidências capacidade</t>
  </si>
  <si>
    <t>Prioridade</t>
  </si>
  <si>
    <t>País clínica</t>
  </si>
  <si>
    <t>Proprietário identificado</t>
  </si>
  <si>
    <t>Proprietário brasileiro?</t>
  </si>
  <si>
    <t>Fonte proprietário/origem</t>
  </si>
  <si>
    <t>Localização</t>
  </si>
  <si>
    <t>Confiança da capacidade</t>
  </si>
  <si>
    <t>Qualificação</t>
  </si>
  <si>
    <t>Pendência</t>
  </si>
  <si>
    <t>Instituto Remodele</t>
  </si>
  <si>
    <t>São Paulo/SP</t>
  </si>
  <si>
    <t>Não identificado</t>
  </si>
  <si>
    <t>+55 11 91907-8160</t>
  </si>
  <si>
    <t>contato@remodele.com.br</t>
  </si>
  <si>
    <t>https://remodele.com.br/</t>
  </si>
  <si>
    <t>Pesquisa pública</t>
  </si>
  <si>
    <t>Chamadas de agendamento levam ao WhatsApp; catálogo facial e corporal permite apresentar site com solicitações de consulta e painel.</t>
  </si>
  <si>
    <t>Confirmar proprietário brasileiro; apresentar fluxo de agendamento e edição dos serviços.</t>
  </si>
  <si>
    <t>A confirmar</t>
  </si>
  <si>
    <t>CNPJ 63.154.444/0001-00; contato@remodele.com.br. Não confundir com Instituto Remodele de Rio Preto.</t>
  </si>
  <si>
    <t>Sem data</t>
  </si>
  <si>
    <t>WhatsApp</t>
  </si>
  <si>
    <t>https://remodele.com.br/assets/index-ClmuxGc9.js</t>
  </si>
  <si>
    <t>Verificado</t>
  </si>
  <si>
    <t>Site próprio e endereço físico publicados; equipe, unidades adicionais e investimento disponíveis não comprovados.</t>
  </si>
  <si>
    <t>Pendente</t>
  </si>
  <si>
    <t>Brasil</t>
  </si>
  <si>
    <t>Não confirmado</t>
  </si>
  <si>
    <t>Média</t>
  </si>
  <si>
    <t>Confirmar proprietário/origem brasileira</t>
  </si>
  <si>
    <t>Art Beauty Center</t>
  </si>
  <si>
    <t>São Paulo/SP; Uberaba/MG</t>
  </si>
  <si>
    <t>Geisa Costa e Marco Aurélio (cofundadores)</t>
  </si>
  <si>
    <t>+55 11 94445-2686</t>
  </si>
  <si>
    <t>sp@artbeautycenter.com.br</t>
  </si>
  <si>
    <t>https://www.artbeautycenter.com.br/</t>
  </si>
  <si>
    <t>Site já apresenta bem a clínica; oportunidade provável em solicitações de consulta e acompanhamento entre unidades.</t>
  </si>
  <si>
    <t>Confirmar origem dos proprietários e perguntar se já usam sistema de agenda.</t>
  </si>
  <si>
    <t>WhatsApp de agendamento de São Paulo. Há divergência em outros telefones do rodapé; não foram usados.</t>
  </si>
  <si>
    <t>https://www.artbeautycenter.com.br/sobre-nos</t>
  </si>
  <si>
    <t>Duas unidades, equipe multidisciplinar e cargos de marketing/finanças publicados; capacidade financeira real desconhecida.</t>
  </si>
  <si>
    <t>Danielle Oliveira Estética Avançada</t>
  </si>
  <si>
    <t>Danielle Oliveira (cofundadora)</t>
  </si>
  <si>
    <t>+55 11 97176-0036</t>
  </si>
  <si>
    <t>contato@danielleoliveira.com.br</t>
  </si>
  <si>
    <t>https://www.danielleoliveira.com.br/</t>
  </si>
  <si>
    <t>Agendamento encaminhado ao WhatsApp; múltiplas unidades podem se beneficiar de catálogo e gestão por unidade.</t>
  </si>
  <si>
    <t>Confirmar proprietária brasileira e autonomia para contratar; oferecer piloto em uma unidade.</t>
  </si>
  <si>
    <t>Contato da unidade Limão; contato@danielleoliveira.com.br. Formação no Brasil não comprova nacionalidade.</t>
  </si>
  <si>
    <t>Cinco unidades listadas; três próprias declaradas no texto institucional. Variedade de procedimentos e estrutura de franquias.</t>
  </si>
  <si>
    <t>JK Estética Avançada</t>
  </si>
  <si>
    <t>São Paulo/SP; Rio de Janeiro/RJ</t>
  </si>
  <si>
    <t>https://www.jkesteticaavancada.com.br/</t>
  </si>
  <si>
    <t>Site elaborado e amplo catálogo; avaliar integração da consulta com acompanhamento e painel antes de propor substituição.</t>
  </si>
  <si>
    <t>Identificar gestor/proprietário brasileiro e confirmar canal para proposta comercial.</t>
  </si>
  <si>
    <t>contato@jkesteticaavancada.com.br é divulgado como Ouvidoria; não foi tratado como endereço de vendas.</t>
  </si>
  <si>
    <t>Formulário</t>
  </si>
  <si>
    <t>Formulário de consulta no site</t>
  </si>
  <si>
    <t>Endereços em SP e RJ, serviços e tecnologias variados divulgados; orçamento não foi informado.</t>
  </si>
  <si>
    <t>Clinic Aesthetica Group</t>
  </si>
  <si>
    <t>Alline Ortiz (proprietária/CEO)</t>
  </si>
  <si>
    <t>+55 11 97346-9977</t>
  </si>
  <si>
    <t>atendimento@clinicspa.com.br</t>
  </si>
  <si>
    <t>https://www.clinicspa.com.br/</t>
  </si>
  <si>
    <t>Já existe calendário/formulário de avaliação no site. Oferecer integração e área do cliente somente se faltar no processo atual.</t>
  </si>
  <si>
    <t>Confirmar proprietária brasileira e descobrir quais sistemas já utilizam.</t>
  </si>
  <si>
    <t>Não apresentar como clínica com agendamento apenas por WhatsApp; atendimento@clinicspa.com.br.</t>
  </si>
  <si>
    <t>Site anuncia 12 anos de atuação, equipe e linhas de tratamento; sinais de operação estruturada.</t>
  </si>
  <si>
    <t>Derma Mais</t>
  </si>
  <si>
    <t>Londrina/PR</t>
  </si>
  <si>
    <t>Marina Mouco Valotto (razão social; vínculo societário a confirmar)</t>
  </si>
  <si>
    <t>+55 43 99162-2868</t>
  </si>
  <si>
    <t>https://clinicaesteticalondrina.com.br/</t>
  </si>
  <si>
    <t>Site direciona conversa após coleta de nome e telefone; acompanhamento capilar/facial combina com área privada do cliente.</t>
  </si>
  <si>
    <t>Confirmar sócios brasileiros e avaliar solicitação de consulta com aprovação da equipe.</t>
  </si>
  <si>
    <t>CNPJ 31.219.709/0001-06. Liderança técnica não foi automaticamente considerada propriedade.</t>
  </si>
  <si>
    <t>https://clinicaesteticalondrina.com.br/quem-somos/</t>
  </si>
  <si>
    <t>Equipe clínica, financeira e relacionamento identificada; tratamentos capilares/faciais/corporais e unidade física.</t>
  </si>
  <si>
    <t>Pró-Corpo</t>
  </si>
  <si>
    <t>Rede em SP, RJ e PR</t>
  </si>
  <si>
    <t>+55 11 4118-9955</t>
  </si>
  <si>
    <t>https://www.procorpoestetica.com.br/</t>
  </si>
  <si>
    <t>Já possui comércio eletrônico e formulário de solicitação de agendamento. Venda simples de site tem baixa aderência; investigar integração.</t>
  </si>
  <si>
    <t>Confirmar proprietário brasileiro e acesso ao decisor; priorizar depois das clínicas independentes.</t>
  </si>
  <si>
    <t>Capacidade estimada alta não significa maior facilidade de venda.</t>
  </si>
  <si>
    <t>Rede de unidades, catálogo amplo, preços e comércio eletrônico publicados; contratação provavelmente exige avaliação corporativa.</t>
  </si>
  <si>
    <t>Natalia Beauty Clinic</t>
  </si>
  <si>
    <t>São Paulo/SP; Barueri/SP; Curitiba/PR</t>
  </si>
  <si>
    <t>Natalia Martins</t>
  </si>
  <si>
    <t>https://nataliabeauty.com.br/clinica/</t>
  </si>
  <si>
    <t>Site e marca maduros; unidades encaminham atendimento para WhatsApp. Oferecer integração e experiência do cliente, sem desvalorizar o site atual.</t>
  </si>
  <si>
    <t>Pedir contato da gestão e verificar sistema atual antes de oferecer demonstração.</t>
  </si>
  <si>
    <t>Biografia oficial: “Natural da capital de São Paulo”. Origem brasileira documentada, sem verificação de documentos de cidadania. Não usar WhatsApp da agência no rodapé.</t>
  </si>
  <si>
    <t>Telefone</t>
  </si>
  <si>
    <t>+55 11 3061-2670</t>
  </si>
  <si>
    <t>Três unidades listadas e matriz de 1.000 m² anunciada; equipe e negócios complementares. Não estima disponibilidade de caixa.</t>
  </si>
  <si>
    <t>Baixa</t>
  </si>
  <si>
    <t>Origem brasileira documentada</t>
  </si>
  <si>
    <t>https://nataliabeauty.com.br/quem-somos/</t>
  </si>
  <si>
    <t>Qualificado</t>
  </si>
  <si>
    <t>SPA Renata França</t>
  </si>
  <si>
    <t>Renata França</t>
  </si>
  <si>
    <t>+55 11 99129-9556</t>
  </si>
  <si>
    <t>contato@renatafranca.com</t>
  </si>
  <si>
    <t>https://www.sparenatafranca.com/sobre/</t>
  </si>
  <si>
    <t>Contato para atendimento no WhatsApp; área de alunos já existe. Investigar se pacientes possuem agendamento e acompanhamento próprios.</t>
  </si>
  <si>
    <t>Solicitar contato da gestão do SPA e oferecer organização das solicitações de consulta.</t>
  </si>
  <si>
    <t>Biografia oficial identifica Ilhéus/BA como cidade natal (“hometown”). Origem brasileira documentada, cidadania legal não verificada. Não usar números de cursos ou venda corporativa.</t>
  </si>
  <si>
    <t>https://www.sparenatafranca.com/nossa-historia/renata</t>
  </si>
  <si>
    <t>Marca com protocolos próprios, equipe e operação de formação/loja; capacidade de compra é hipótese baseada na estrutura.</t>
  </si>
  <si>
    <t>VitaSmile</t>
  </si>
  <si>
    <t>Londres</t>
  </si>
  <si>
    <t>+44 7848 958312</t>
  </si>
  <si>
    <t>https://www.vitasmile.co.uk/</t>
  </si>
  <si>
    <t>Clínica odontológica também oferece rejuvenescimento facial; integração de atendimento pode ser útil, mas demanda difere de estética pura.</t>
  </si>
  <si>
    <t>Confirmar se o proprietário é brasileiro e se há interesse específico na frente de estética.</t>
  </si>
  <si>
    <t>FORA DO BRASIL. “Clínica brasileira” e atendimento em português não comprovam nacionalidade do dono.</t>
  </si>
  <si>
    <t>https://www.vitasmile.co.uk/estetica-que-respeita-voce/</t>
  </si>
  <si>
    <t>Equipe, serviços odontológicos e estética facial, site com preços/financiamento publicados.</t>
  </si>
  <si>
    <t>Reino Unido</t>
  </si>
  <si>
    <t>FORA DO BRASIL</t>
  </si>
  <si>
    <t>Maison B</t>
  </si>
  <si>
    <t>Lisboa</t>
  </si>
  <si>
    <t>Anni Frota</t>
  </si>
  <si>
    <t>Espaço de estética com tratamentos naturais e quatro salas descrito em reportagem; site e agenda atuais não verificados.</t>
  </si>
  <si>
    <t>Revalidar funcionamento, telefone e proprietária antes de qualquer abordagem.</t>
  </si>
  <si>
    <t>FORA DO BRASIL. Reportagem de 22/12/2022. Não presumir que telefone aceita WhatsApp nem que contato continua ativo.</t>
  </si>
  <si>
    <t>+351 912 349 066</t>
  </si>
  <si>
    <t>https://www.nit.pt/compras/maison-b-o-novo-espaco-de-beleza-em-lisboa-onde-todos-os-tratamentos-sao-naturais</t>
  </si>
  <si>
    <t>Estrutura de quatro salas e serviços publicados em 2022. Evidência histórica, sem validação financeira atual.</t>
  </si>
  <si>
    <t>Portugal</t>
  </si>
  <si>
    <t>Brasileira explícita em fonte</t>
  </si>
  <si>
    <t>Revalidar contato/atividade atual</t>
  </si>
  <si>
    <t>Bellavish Aesthetic Clinic</t>
  </si>
  <si>
    <t>Dublin</t>
  </si>
  <si>
    <t>Phamela Priscila Bezerra</t>
  </si>
  <si>
    <t>Clínica de estética descrita em matéria institucional; jornada digital atual não pôde ser validada.</t>
  </si>
  <si>
    <t>Revalidar atividade e telefone; confirmar responsável atual.</t>
  </si>
  <si>
    <t>FORA DO BRASIL. Fonte de 21/09/2022: nasceu em Londrina/PR. E-mail ofuscado não foi inventado. Domínio antigo não foi considerado site atual.</t>
  </si>
  <si>
    <t>+353 89 607 6938</t>
  </si>
  <si>
    <t>https://nepuga.edu.br/news/biomedica-esteta-europa/</t>
  </si>
  <si>
    <t>Experiência e operação clínica descritas em 2022; sinal histórico insuficiente para inferir orçamento atual.</t>
  </si>
  <si>
    <t>Irlanda</t>
  </si>
  <si>
    <t>Brazilicious Beauty Spa</t>
  </si>
  <si>
    <t>Austin/Texas (referência histórica)</t>
  </si>
  <si>
    <t>Josie Rushing</t>
  </si>
  <si>
    <t>https://braziliciousbeautyspa.com/</t>
  </si>
  <si>
    <t>Proprietária brasileira identificada em reportagem; contato comercial atual e experiência do site não puderam ser verificados.</t>
  </si>
  <si>
    <t>Localizar fonte atual de contato comercial; manter fora da fila de abordagem.</t>
  </si>
  <si>
    <t>FORA DO BRASIL. Reportagem de 29/04/2022; site bloqueou acesso automatizado. brazilicious.com é comércio de pão de queijo e não pertence a este registro.</t>
  </si>
  <si>
    <t>Não pontuado: faturamento histórico de reportagem não comprova orçamento atual.</t>
  </si>
  <si>
    <t>Estados Unidos</t>
  </si>
  <si>
    <t>https://revistapegn.globo.com/Mulheres-empreendedoras/noticia/2022/04/brasileira-fatura-r-2-milhoes-com-drenagem-linfatica-nos-eua.html</t>
  </si>
  <si>
    <t>Não atribuída</t>
  </si>
  <si>
    <t>Localizar contato comercial atual fora do Instagram</t>
  </si>
  <si>
    <t>CRM de clínicas • Qualificados</t>
  </si>
  <si>
    <t>CRM de clínicas • Pendentes</t>
  </si>
  <si>
    <t>Indicador</t>
  </si>
  <si>
    <t>Valor</t>
  </si>
  <si>
    <t>Candidatos pesquisados</t>
  </si>
  <si>
    <t>Qualificados na pesquisa</t>
  </si>
  <si>
    <t>Pendentes de qualificação</t>
  </si>
  <si>
    <t>Fora do Brasil</t>
  </si>
  <si>
    <t>Contratos fechados</t>
  </si>
  <si>
    <t>Retornos hoje</t>
  </si>
  <si>
    <t>Retornos atrasados</t>
  </si>
  <si>
    <t>Nenhuma mensagem foi enviada. Telefones publicados não foram testados por ligação.</t>
  </si>
  <si>
    <t>Tema</t>
  </si>
  <si>
    <t>Orientação</t>
  </si>
  <si>
    <t>Comece aqui</t>
  </si>
  <si>
    <t>Edite a aba CRM. Qualificados e Pendentes são cópias da fotografia inicial, não se sincronizam com suas edições. Filtre Qualificação e Próxima ação.</t>
  </si>
  <si>
    <t>Proprietário brasileiro</t>
  </si>
  <si>
    <t>Aceitamos menção explícita a brasileiro(a) ou biografia que identifique cidade natal no Brasil. Origem documentada não equivale a verificação jurídica de cidadania. Nome português, endereço brasileiro e formação no Brasil não bastam.</t>
  </si>
  <si>
    <t>Contatos</t>
  </si>
  <si>
    <t>São contatos públicos da empresa, não dados privados. Publicado/verificado significa visto na fonte, não telefone testado nem autorização para receber propaganda.</t>
  </si>
  <si>
    <t>Revalidar antigos</t>
  </si>
  <si>
    <t>Maison B e Bellavish: reportagem de 2022. Brazilicious: proprietário em matéria de 2022, contato atual não localizado. Não estão na fila qualificada.</t>
  </si>
  <si>
    <t>Planilha operacional</t>
  </si>
  <si>
    <t>Preencha etapa, último contato, próximo contato, próxima ação e propostas. As colunas Situação retorno e Prioridade contêm fórmulas. Há 200 posições.</t>
  </si>
  <si>
    <t>Qualificar manualmente</t>
  </si>
  <si>
    <t>Após confirmar dono/origem e contato recente com fonte, atualize Qualificação, Verificação e pendências. Não transforme hipótese em fato. Notas podem ser revistas com descobertas novas.</t>
  </si>
  <si>
    <t>Orçamento</t>
  </si>
  <si>
    <t>Capacidade 0–10 é uma estimativa comercial ordinal baseada em estrutura visível. Não revela faturamento, caixa, verba ou aceitação do preço. Propostas ficaram em branco.</t>
  </si>
  <si>
    <t>Instagram</t>
  </si>
  <si>
    <t>Instagram não é canal principal. Sem outro contato verificável, o registro fica fora da fila de abordagem; contatos comprovadamente apenas Instagram devem ser descartados.</t>
  </si>
  <si>
    <t>Mensagens</t>
  </si>
  <si>
    <t>Comece com apresentação individual, contexto do site e pedido de permissão para enviar demonstração. Respeite recusa e evite disparos em massa.</t>
  </si>
  <si>
    <t>Escopo</t>
  </si>
  <si>
    <t>Levantamento inicial de 13 candidatos, não estudo censitário nem garantia de vendas. Consulta pública em 07/10/2026; fontes antigas identificadas explicitamente.</t>
  </si>
  <si>
    <t>Dimensão</t>
  </si>
  <si>
    <t>Faixas / método</t>
  </si>
  <si>
    <t>Aplicação</t>
  </si>
  <si>
    <t>0–2: pouca aderência; 3–4: sistema/site já maduro; 5–6: oportunidade depende de integração; 7–8: lacuna visível na jornada e boa aderência; 9–10: necessidade validada diretamente.</t>
  </si>
  <si>
    <t>Avaliação ordinal da aderência ao nosso produto, jornada de agendamento, acompanhamento e facilidade de chegar ao decisor. Sem entrevistas não atribuímos 9–10.</t>
  </si>
  <si>
    <t>0–2: estrutura limitada comprovada; 3–4: operação pequena; 5–6: unidade/serviços com estrutura publicada; 7–8: equipe/unidades/tecnologias; 9–10: operação de rede/grupo claramente documentada.</t>
  </si>
  <si>
    <t>Sinais: unidades, equipe, variedade/tecnologia, maturidade digital e posicionamento/estrutura física publicados. Não é pontuação de renda pessoal. Ausência de evidência não vira zero.</t>
  </si>
  <si>
    <t>Confiança</t>
  </si>
  <si>
    <t>Média: sinais publicados em páginas oficiais atuais; Baixa: informação antiga ou parcial; Não atribuída: insuficiente.</t>
  </si>
  <si>
    <t>Todas as notas podem estar erradas; validar orçamento e processo de compra em conversa com a empresa.</t>
  </si>
  <si>
    <t>Alta: potencial ≥7 e capacidade ≥6; Média: potencial ≥5 e capacidade ≥4; Baixa: demais qualificados.</t>
  </si>
  <si>
    <t>Qualificação pendente, contato não verificado ou notas ausentes prevalecem e produzem Pendente.</t>
  </si>
  <si>
    <t>Limite da análise de sites</t>
  </si>
  <si>
    <t>Observamos páginas públicas, links e formulários. Não entramos em áreas autenticadas nem testamos envio de consultas.</t>
  </si>
  <si>
    <t>Formulário visível não prova funcionamento interno. WhatsApp no site não prova ausência de CRM ou sistema de agenda.</t>
  </si>
  <si>
    <t>Segmento / assunto</t>
  </si>
  <si>
    <t>Dor a investigar</t>
  </si>
  <si>
    <t>Oferta / recomendação</t>
  </si>
  <si>
    <t>Clínica independente de estética</t>
  </si>
  <si>
    <t>Atendimento manual, informações desatualizadas, solicitações dispersas e retorno de clientes.</t>
  </si>
  <si>
    <t>Site editável + solicitações com aprovação + cadastro + área do cliente. Melhor hipótese de entrada para piloto, confirmar na conversa.</t>
  </si>
  <si>
    <t>Dermatologia / clínica médica</t>
  </si>
  <si>
    <t>Agenda por profissional, reputação, publicidade e coordenação da recepção.</t>
  </si>
  <si>
    <t>Apresentar ganho no fluxo de atendimento e integração; aplicar regras do CFM e identificação profissional conforme o tipo de serviço.</t>
  </si>
  <si>
    <t>Redes / franquias</t>
  </si>
  <si>
    <t>Autonomia local versus compras centralizadas, múltiplas unidades e sistemas já contratados.</t>
  </si>
  <si>
    <t>Oferta de piloto por unidade ou integração. Ciclo comercial provavelmente mais longo; não pressupor verba disponível.</t>
  </si>
  <si>
    <t>Spa / bem-estar</t>
  </si>
  <si>
    <t>Recorrência, protocolos, acompanhamento e disponibilidade da equipe.</t>
  </si>
  <si>
    <t>Solicitações de consulta, histórico de atendimento e conteúdo atualizado; confirmar limites e preferências do serviço.</t>
  </si>
  <si>
    <t>Brasileiros no exterior</t>
  </si>
  <si>
    <t>Idioma, fuso horário, moeda, operação local e regras do país.</t>
  </si>
  <si>
    <t>Site bilíngue e horários locais são possíveis extensões, não funcionalidades já garantidas. Verificar legislação e contratação local.</t>
  </si>
  <si>
    <t>Posicionamento</t>
  </si>
  <si>
    <t>Um site bonito pode já existir; substituir só pelo visual é uma proposta fraca.</t>
  </si>
  <si>
    <t>Demonstrar a passagem do cadastro à solicitação, aprovação e manutenção do catálogo. Não prometer faturamento ou eliminar faltas.</t>
  </si>
  <si>
    <t>Preço para testar</t>
  </si>
  <si>
    <t>Oferta comercial do fornecedor é distinta da capacidade estimada do cliente.</t>
  </si>
  <si>
    <t>Hipótese inicial: implantação R$3.490 + R$397/mês, com escopo fechado. Domínio, serviços pagos, integrações e suporte extra devem ser definidos. Para exterior, cotar depois de conhecer escopo/moeda.</t>
  </si>
  <si>
    <t>Descoberta comercial</t>
  </si>
  <si>
    <t>Volume de solicitações, faltas, tempo de resposta, quem edita o site, sistema atual, decisor e verba.</t>
  </si>
  <si>
    <t>Perguntar por números reais. Medir no piloto: conversão em solicitações válidas, tempo de resposta e aprovação; não inferir resultados só do site.</t>
  </si>
  <si>
    <t>Mercado e estatística</t>
  </si>
  <si>
    <t>Não confundir procedimentos médicos realizados por cirurgiões plásticos com o universo de clínicas de estética.</t>
  </si>
  <si>
    <t>ISAPS tem pesquisa anual restrita a esse escopo. Nenhum tamanho de mercado ou faturamento setorial foi inventado neste estudo.</t>
  </si>
  <si>
    <t>Galeria / acompanhamento</t>
  </si>
  <si>
    <t>Fotos públicas e evolução privada exigem finalidade e autorização adequadas.</t>
  </si>
  <si>
    <t>Separar galeria pública aprovada de área do paciente, revisar permissões e acesso; regras variam por profissional e local.</t>
  </si>
  <si>
    <t>Clínica / tema</t>
  </si>
  <si>
    <t>Fonte consultada</t>
  </si>
  <si>
    <t>O que comprova / limite</t>
  </si>
  <si>
    <t xml:space="preserve">https://remodele.com.br/assets/index-ClmuxGc9.js
</t>
  </si>
  <si>
    <t>CNPJ 63.154.444/0001-00; contato@remodele.com.br. Não confundir com Instituto Remodele de Rio Preto. Consulta em 07/10/2026.</t>
  </si>
  <si>
    <t>https://www.artbeautycenter.com.br/sobre-nos
https://www.artbeautycenter.com.br/sobre-nos</t>
  </si>
  <si>
    <t>WhatsApp de agendamento de São Paulo. Há divergência em outros telefones do rodapé; não foram usados. Consulta em 07/10/2026.</t>
  </si>
  <si>
    <t>https://www.danielleoliveira.com.br/
https://www.danielleoliveira.com.br/</t>
  </si>
  <si>
    <t>Contato da unidade Limão; contato@danielleoliveira.com.br. Formação no Brasil não comprova nacionalidade. Consulta em 07/10/2026.</t>
  </si>
  <si>
    <t xml:space="preserve">https://www.jkesteticaavancada.com.br/
</t>
  </si>
  <si>
    <t>contato@jkesteticaavancada.com.br é divulgado como Ouvidoria; não foi tratado como endereço de vendas. Consulta em 07/10/2026.</t>
  </si>
  <si>
    <t>https://www.clinicspa.com.br/
https://www.clinicspa.com.br/</t>
  </si>
  <si>
    <t>Não apresentar como clínica com agendamento apenas por WhatsApp; atendimento@clinicspa.com.br. Consulta em 07/10/2026.</t>
  </si>
  <si>
    <t>https://clinicaesteticalondrina.com.br/quem-somos/
https://clinicaesteticalondrina.com.br/quem-somos/</t>
  </si>
  <si>
    <t>CNPJ 31.219.709/0001-06. Liderança técnica não foi automaticamente considerada propriedade. Consulta em 07/10/2026.</t>
  </si>
  <si>
    <t xml:space="preserve">https://www.procorpoestetica.com.br/
</t>
  </si>
  <si>
    <t>Capacidade estimada alta não significa maior facilidade de venda. Consulta em 07/10/2026.</t>
  </si>
  <si>
    <t>https://nataliabeauty.com.br/clinica/
https://nataliabeauty.com.br/quem-somos/</t>
  </si>
  <si>
    <t>Biografia oficial: “Natural da capital de São Paulo”. Origem brasileira documentada, sem verificação de documentos de cidadania. Não usar WhatsApp da agência no rodapé. Consulta em 07/10/2026.</t>
  </si>
  <si>
    <t>https://www.sparenatafranca.com/nossa-historia/renata
https://www.sparenatafranca.com/nossa-historia/renata</t>
  </si>
  <si>
    <t>Biografia oficial identifica Ilhéus/BA como cidade natal (“hometown”). Origem brasileira documentada, cidadania legal não verificada. Não usar números de cursos ou venda corporativa. Consulta em 07/10/2026.</t>
  </si>
  <si>
    <t xml:space="preserve">https://www.vitasmile.co.uk/estetica-que-respeita-voce/
</t>
  </si>
  <si>
    <t>FORA DO BRASIL. “Clínica brasileira” e atendimento em português não comprovam nacionalidade do dono. Consulta em 07/10/2026.</t>
  </si>
  <si>
    <t>https://www.nit.pt/compras/maison-b-o-novo-espaco-de-beleza-em-lisboa-onde-todos-os-tratamentos-sao-naturais
https://www.nit.pt/compras/maison-b-o-novo-espaco-de-beleza-em-lisboa-onde-todos-os-tratamentos-sao-naturais</t>
  </si>
  <si>
    <t>FORA DO BRASIL. Reportagem de 22/12/2022. Não presumir que telefone aceita WhatsApp nem que contato continua ativo. Consulta em 07/10/2026.</t>
  </si>
  <si>
    <t>https://nepuga.edu.br/news/biomedica-esteta-europa/
https://nepuga.edu.br/news/biomedica-esteta-europa/</t>
  </si>
  <si>
    <t>FORA DO BRASIL. Fonte de 21/09/2022: nasceu em Londrina/PR. E-mail ofuscado não foi inventado. Domínio antigo não foi considerado site atual. Consulta em 07/10/2026.</t>
  </si>
  <si>
    <t xml:space="preserve">
https://revistapegn.globo.com/Mulheres-empreendedoras/noticia/2022/04/brasileira-fatura-r-2-milhoes-com-drenagem-linfatica-nos-eua.html</t>
  </si>
  <si>
    <t>FORA DO BRASIL. Reportagem de 29/04/2022; site bloqueou acesso automatizado. brazilicious.com é comércio de pão de queijo e não pertence a este registro. Consulta em 07/10/2026.</t>
  </si>
  <si>
    <t>ISAPS</t>
  </si>
  <si>
    <t>https://www.isaps.org/discover/about-isaps/global-statistics/</t>
  </si>
  <si>
    <t>Pesquisa anual de procedimentos estéticos cirúrgicos e não cirúrgicos realizados por cirurgiões plásticos. Consulta 07/10/2026; sem número setorial extrapolado.</t>
  </si>
  <si>
    <t>Publicidade médica CFM</t>
  </si>
  <si>
    <t>https://publicidademedica.cfm.org.br/</t>
  </si>
  <si>
    <t>Guia da Resolução CFM 2.336/2023. Identificação, divulgação e condições para fotos; aplicação a médicos. Consulta 07/10/2026.</t>
  </si>
  <si>
    <t>Registro</t>
  </si>
  <si>
    <t>Motivo</t>
  </si>
  <si>
    <t>Fonte</t>
  </si>
  <si>
    <t>Studio E.F. Training &amp; Beauty</t>
  </si>
  <si>
    <t>Site atual apresenta escola de formação, fora do escopo desta lista de clínicas. Fundadora brasileira confirmada, mas isso não resolve a diferença de atividade.</t>
  </si>
  <si>
    <t>https://training-beauty.com/</t>
  </si>
  <si>
    <t>brazilicious.com</t>
  </si>
  <si>
    <t>Loja de pão de queijo, não Brazilicious Beauty Spa. Domínio semelhante não identifica a empresa correta.</t>
  </si>
  <si>
    <t>https://brazilicious.com/</t>
  </si>
  <si>
    <t>tonyabeauty.com</t>
  </si>
  <si>
    <t>Site de Tonya Wilson / salão em Dallas; não identifica Tonya Silva Pereira da clínica citada em reportagem. Não usar como contato da clínica.</t>
  </si>
  <si>
    <t>https://tonyabeauty.com/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</si>
</sst>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65B7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E38"/>
        <bgColor indexed="64"/>
      </patternFill>
    </fill>
    <fill>
      <patternFill patternType="solid">
        <fgColor rgb="FFE7EE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vertical="top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1">
    <dxf>
      <fill>
        <patternFill>
          <bgColor rgb="FFFFF0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remodele.com.br/" TargetMode="External"/><Relationship Id="rId2" Type="http://schemas.openxmlformats.org/officeDocument/2006/relationships/hyperlink" Target="https://remodele.com.br/" TargetMode="External"/><Relationship Id="rId3" Type="http://schemas.openxmlformats.org/officeDocument/2006/relationships/hyperlink" Target="https://remodele.com.br/assets/index-ClmuxGc9.js" TargetMode="External"/><Relationship Id="rId4" Type="http://schemas.openxmlformats.org/officeDocument/2006/relationships/hyperlink" Target="https://www.artbeautycenter.com.br/" TargetMode="External"/><Relationship Id="rId5" Type="http://schemas.openxmlformats.org/officeDocument/2006/relationships/hyperlink" Target="https://www.artbeautycenter.com.br/" TargetMode="External"/><Relationship Id="rId6" Type="http://schemas.openxmlformats.org/officeDocument/2006/relationships/hyperlink" Target="https://www.artbeautycenter.com.br/sobre-nos" TargetMode="External"/><Relationship Id="rId7" Type="http://schemas.openxmlformats.org/officeDocument/2006/relationships/hyperlink" Target="https://www.artbeautycenter.com.br/sobre-nos" TargetMode="External"/><Relationship Id="rId8" Type="http://schemas.openxmlformats.org/officeDocument/2006/relationships/hyperlink" Target="https://www.danielleoliveira.com.br/" TargetMode="External"/><Relationship Id="rId9" Type="http://schemas.openxmlformats.org/officeDocument/2006/relationships/hyperlink" Target="https://www.danielleoliveira.com.br/" TargetMode="External"/><Relationship Id="rId10" Type="http://schemas.openxmlformats.org/officeDocument/2006/relationships/hyperlink" Target="https://www.danielleoliveira.com.br/" TargetMode="External"/><Relationship Id="rId11" Type="http://schemas.openxmlformats.org/officeDocument/2006/relationships/hyperlink" Target="https://www.danielleoliveira.com.br/" TargetMode="External"/><Relationship Id="rId12" Type="http://schemas.openxmlformats.org/officeDocument/2006/relationships/hyperlink" Target="https://www.jkesteticaavancada.com.br/" TargetMode="External"/><Relationship Id="rId13" Type="http://schemas.openxmlformats.org/officeDocument/2006/relationships/hyperlink" Target="https://www.jkesteticaavancada.com.br/" TargetMode="External"/><Relationship Id="rId14" Type="http://schemas.openxmlformats.org/officeDocument/2006/relationships/hyperlink" Target="https://www.jkesteticaavancada.com.br/" TargetMode="External"/><Relationship Id="rId15" Type="http://schemas.openxmlformats.org/officeDocument/2006/relationships/hyperlink" Target="https://www.clinicspa.com.br/" TargetMode="External"/><Relationship Id="rId16" Type="http://schemas.openxmlformats.org/officeDocument/2006/relationships/hyperlink" Target="https://www.clinicspa.com.br/" TargetMode="External"/><Relationship Id="rId17" Type="http://schemas.openxmlformats.org/officeDocument/2006/relationships/hyperlink" Target="https://www.clinicspa.com.br/" TargetMode="External"/><Relationship Id="rId18" Type="http://schemas.openxmlformats.org/officeDocument/2006/relationships/hyperlink" Target="https://www.clinicspa.com.br/" TargetMode="External"/><Relationship Id="rId19" Type="http://schemas.openxmlformats.org/officeDocument/2006/relationships/hyperlink" Target="https://clinicaesteticalondrina.com.br/" TargetMode="External"/><Relationship Id="rId20" Type="http://schemas.openxmlformats.org/officeDocument/2006/relationships/hyperlink" Target="https://clinicaesteticalondrina.com.br/" TargetMode="External"/><Relationship Id="rId21" Type="http://schemas.openxmlformats.org/officeDocument/2006/relationships/hyperlink" Target="https://clinicaesteticalondrina.com.br/quem-somos/" TargetMode="External"/><Relationship Id="rId22" Type="http://schemas.openxmlformats.org/officeDocument/2006/relationships/hyperlink" Target="https://clinicaesteticalondrina.com.br/quem-somos/" TargetMode="External"/><Relationship Id="rId23" Type="http://schemas.openxmlformats.org/officeDocument/2006/relationships/hyperlink" Target="https://www.procorpoestetica.com.br/" TargetMode="External"/><Relationship Id="rId24" Type="http://schemas.openxmlformats.org/officeDocument/2006/relationships/hyperlink" Target="https://www.procorpoestetica.com.br/" TargetMode="External"/><Relationship Id="rId25" Type="http://schemas.openxmlformats.org/officeDocument/2006/relationships/hyperlink" Target="https://www.procorpoestetica.com.br/" TargetMode="External"/><Relationship Id="rId26" Type="http://schemas.openxmlformats.org/officeDocument/2006/relationships/hyperlink" Target="https://nataliabeauty.com.br/clinica/" TargetMode="External"/><Relationship Id="rId27" Type="http://schemas.openxmlformats.org/officeDocument/2006/relationships/hyperlink" Target="https://nataliabeauty.com.br/clinica/" TargetMode="External"/><Relationship Id="rId28" Type="http://schemas.openxmlformats.org/officeDocument/2006/relationships/hyperlink" Target="https://nataliabeauty.com.br/clinica/" TargetMode="External"/><Relationship Id="rId29" Type="http://schemas.openxmlformats.org/officeDocument/2006/relationships/hyperlink" Target="https://nataliabeauty.com.br/quem-somos/" TargetMode="External"/><Relationship Id="rId30" Type="http://schemas.openxmlformats.org/officeDocument/2006/relationships/hyperlink" Target="https://www.sparenatafranca.com/sobre/" TargetMode="External"/><Relationship Id="rId31" Type="http://schemas.openxmlformats.org/officeDocument/2006/relationships/hyperlink" Target="https://www.sparenatafranca.com/sobre/" TargetMode="External"/><Relationship Id="rId32" Type="http://schemas.openxmlformats.org/officeDocument/2006/relationships/hyperlink" Target="https://www.sparenatafranca.com/nossa-historia/renata" TargetMode="External"/><Relationship Id="rId33" Type="http://schemas.openxmlformats.org/officeDocument/2006/relationships/hyperlink" Target="https://www.sparenatafranca.com/nossa-historia/renata" TargetMode="External"/><Relationship Id="rId34" Type="http://schemas.openxmlformats.org/officeDocument/2006/relationships/hyperlink" Target="https://www.vitasmile.co.uk/" TargetMode="External"/><Relationship Id="rId35" Type="http://schemas.openxmlformats.org/officeDocument/2006/relationships/hyperlink" Target="https://www.vitasmile.co.uk/" TargetMode="External"/><Relationship Id="rId36" Type="http://schemas.openxmlformats.org/officeDocument/2006/relationships/hyperlink" Target="https://www.vitasmile.co.uk/estetica-que-respeita-voce/" TargetMode="External"/><Relationship Id="rId37" Type="http://schemas.openxmlformats.org/officeDocument/2006/relationships/hyperlink" Target="https://www.nit.pt/compras/maison-b-o-novo-espaco-de-beleza-em-lisboa-onde-todos-os-tratamentos-sao-naturais" TargetMode="External"/><Relationship Id="rId38" Type="http://schemas.openxmlformats.org/officeDocument/2006/relationships/hyperlink" Target="https://www.nit.pt/compras/maison-b-o-novo-espaco-de-beleza-em-lisboa-onde-todos-os-tratamentos-sao-naturais" TargetMode="External"/><Relationship Id="rId39" Type="http://schemas.openxmlformats.org/officeDocument/2006/relationships/hyperlink" Target="https://nepuga.edu.br/news/biomedica-esteta-europa/" TargetMode="External"/><Relationship Id="rId40" Type="http://schemas.openxmlformats.org/officeDocument/2006/relationships/hyperlink" Target="https://nepuga.edu.br/news/biomedica-esteta-europa/" TargetMode="External"/><Relationship Id="rId41" Type="http://schemas.openxmlformats.org/officeDocument/2006/relationships/hyperlink" Target="https://braziliciousbeautyspa.com/" TargetMode="External"/><Relationship Id="rId42" Type="http://schemas.openxmlformats.org/officeDocument/2006/relationships/hyperlink" Target="https://revistapegn.globo.com/Mulheres-empreendedoras/noticia/2022/04/brasileira-fatura-r-2-milhoes-com-drenagem-linfatica-nos-eua.html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nataliabeauty.com.br/clinica/" TargetMode="External"/><Relationship Id="rId2" Type="http://schemas.openxmlformats.org/officeDocument/2006/relationships/hyperlink" Target="https://nataliabeauty.com.br/clinica/" TargetMode="External"/><Relationship Id="rId3" Type="http://schemas.openxmlformats.org/officeDocument/2006/relationships/hyperlink" Target="https://nataliabeauty.com.br/clinica/" TargetMode="External"/><Relationship Id="rId4" Type="http://schemas.openxmlformats.org/officeDocument/2006/relationships/hyperlink" Target="https://nataliabeauty.com.br/quem-somos/" TargetMode="External"/><Relationship Id="rId5" Type="http://schemas.openxmlformats.org/officeDocument/2006/relationships/hyperlink" Target="https://www.sparenatafranca.com/sobre/" TargetMode="External"/><Relationship Id="rId6" Type="http://schemas.openxmlformats.org/officeDocument/2006/relationships/hyperlink" Target="https://www.sparenatafranca.com/sobre/" TargetMode="External"/><Relationship Id="rId7" Type="http://schemas.openxmlformats.org/officeDocument/2006/relationships/hyperlink" Target="https://www.sparenatafranca.com/nossa-historia/renata" TargetMode="External"/><Relationship Id="rId8" Type="http://schemas.openxmlformats.org/officeDocument/2006/relationships/hyperlink" Target="https://www.sparenatafranca.com/nossa-historia/renata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remodele.com.br/" TargetMode="External"/><Relationship Id="rId2" Type="http://schemas.openxmlformats.org/officeDocument/2006/relationships/hyperlink" Target="https://remodele.com.br/" TargetMode="External"/><Relationship Id="rId3" Type="http://schemas.openxmlformats.org/officeDocument/2006/relationships/hyperlink" Target="https://remodele.com.br/assets/index-ClmuxGc9.js" TargetMode="External"/><Relationship Id="rId4" Type="http://schemas.openxmlformats.org/officeDocument/2006/relationships/hyperlink" Target="https://www.artbeautycenter.com.br/" TargetMode="External"/><Relationship Id="rId5" Type="http://schemas.openxmlformats.org/officeDocument/2006/relationships/hyperlink" Target="https://www.artbeautycenter.com.br/" TargetMode="External"/><Relationship Id="rId6" Type="http://schemas.openxmlformats.org/officeDocument/2006/relationships/hyperlink" Target="https://www.artbeautycenter.com.br/sobre-nos" TargetMode="External"/><Relationship Id="rId7" Type="http://schemas.openxmlformats.org/officeDocument/2006/relationships/hyperlink" Target="https://www.artbeautycenter.com.br/sobre-nos" TargetMode="External"/><Relationship Id="rId8" Type="http://schemas.openxmlformats.org/officeDocument/2006/relationships/hyperlink" Target="https://www.danielleoliveira.com.br/" TargetMode="External"/><Relationship Id="rId9" Type="http://schemas.openxmlformats.org/officeDocument/2006/relationships/hyperlink" Target="https://www.danielleoliveira.com.br/" TargetMode="External"/><Relationship Id="rId10" Type="http://schemas.openxmlformats.org/officeDocument/2006/relationships/hyperlink" Target="https://www.danielleoliveira.com.br/" TargetMode="External"/><Relationship Id="rId11" Type="http://schemas.openxmlformats.org/officeDocument/2006/relationships/hyperlink" Target="https://www.danielleoliveira.com.br/" TargetMode="External"/><Relationship Id="rId12" Type="http://schemas.openxmlformats.org/officeDocument/2006/relationships/hyperlink" Target="https://www.jkesteticaavancada.com.br/" TargetMode="External"/><Relationship Id="rId13" Type="http://schemas.openxmlformats.org/officeDocument/2006/relationships/hyperlink" Target="https://www.jkesteticaavancada.com.br/" TargetMode="External"/><Relationship Id="rId14" Type="http://schemas.openxmlformats.org/officeDocument/2006/relationships/hyperlink" Target="https://www.jkesteticaavancada.com.br/" TargetMode="External"/><Relationship Id="rId15" Type="http://schemas.openxmlformats.org/officeDocument/2006/relationships/hyperlink" Target="https://www.clinicspa.com.br/" TargetMode="External"/><Relationship Id="rId16" Type="http://schemas.openxmlformats.org/officeDocument/2006/relationships/hyperlink" Target="https://www.clinicspa.com.br/" TargetMode="External"/><Relationship Id="rId17" Type="http://schemas.openxmlformats.org/officeDocument/2006/relationships/hyperlink" Target="https://www.clinicspa.com.br/" TargetMode="External"/><Relationship Id="rId18" Type="http://schemas.openxmlformats.org/officeDocument/2006/relationships/hyperlink" Target="https://www.clinicspa.com.br/" TargetMode="External"/><Relationship Id="rId19" Type="http://schemas.openxmlformats.org/officeDocument/2006/relationships/hyperlink" Target="https://clinicaesteticalondrina.com.br/" TargetMode="External"/><Relationship Id="rId20" Type="http://schemas.openxmlformats.org/officeDocument/2006/relationships/hyperlink" Target="https://clinicaesteticalondrina.com.br/" TargetMode="External"/><Relationship Id="rId21" Type="http://schemas.openxmlformats.org/officeDocument/2006/relationships/hyperlink" Target="https://clinicaesteticalondrina.com.br/quem-somos/" TargetMode="External"/><Relationship Id="rId22" Type="http://schemas.openxmlformats.org/officeDocument/2006/relationships/hyperlink" Target="https://clinicaesteticalondrina.com.br/quem-somos/" TargetMode="External"/><Relationship Id="rId23" Type="http://schemas.openxmlformats.org/officeDocument/2006/relationships/hyperlink" Target="https://www.procorpoestetica.com.br/" TargetMode="External"/><Relationship Id="rId24" Type="http://schemas.openxmlformats.org/officeDocument/2006/relationships/hyperlink" Target="https://www.procorpoestetica.com.br/" TargetMode="External"/><Relationship Id="rId25" Type="http://schemas.openxmlformats.org/officeDocument/2006/relationships/hyperlink" Target="https://www.procorpoestetica.com.br/" TargetMode="External"/><Relationship Id="rId26" Type="http://schemas.openxmlformats.org/officeDocument/2006/relationships/hyperlink" Target="https://www.vitasmile.co.uk/" TargetMode="External"/><Relationship Id="rId27" Type="http://schemas.openxmlformats.org/officeDocument/2006/relationships/hyperlink" Target="https://www.vitasmile.co.uk/" TargetMode="External"/><Relationship Id="rId28" Type="http://schemas.openxmlformats.org/officeDocument/2006/relationships/hyperlink" Target="https://www.vitasmile.co.uk/estetica-que-respeita-voce/" TargetMode="External"/><Relationship Id="rId29" Type="http://schemas.openxmlformats.org/officeDocument/2006/relationships/hyperlink" Target="https://www.nit.pt/compras/maison-b-o-novo-espaco-de-beleza-em-lisboa-onde-todos-os-tratamentos-sao-naturais" TargetMode="External"/><Relationship Id="rId30" Type="http://schemas.openxmlformats.org/officeDocument/2006/relationships/hyperlink" Target="https://www.nit.pt/compras/maison-b-o-novo-espaco-de-beleza-em-lisboa-onde-todos-os-tratamentos-sao-naturais" TargetMode="External"/><Relationship Id="rId31" Type="http://schemas.openxmlformats.org/officeDocument/2006/relationships/hyperlink" Target="https://nepuga.edu.br/news/biomedica-esteta-europa/" TargetMode="External"/><Relationship Id="rId32" Type="http://schemas.openxmlformats.org/officeDocument/2006/relationships/hyperlink" Target="https://nepuga.edu.br/news/biomedica-esteta-europa/" TargetMode="External"/><Relationship Id="rId33" Type="http://schemas.openxmlformats.org/officeDocument/2006/relationships/hyperlink" Target="https://braziliciousbeautyspa.com/" TargetMode="External"/><Relationship Id="rId34" Type="http://schemas.openxmlformats.org/officeDocument/2006/relationships/hyperlink" Target="https://revistapegn.globo.com/Mulheres-empreendedoras/noticia/2022/04/brasileira-fatura-r-2-milhoes-com-drenagem-linfatica-nos-eu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3E38"/>
    <pageSetUpPr fitToPage="1"/>
  </sheetPr>
  <dimension ref="A1:AL2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1.7109375" customWidth="1"/>
    <col min="2" max="8" width="27.7109375" customWidth="1"/>
    <col min="9" max="9" width="52.7109375" customWidth="1"/>
    <col min="10" max="11" width="17.7109375" style="1" customWidth="1"/>
    <col min="12" max="12" width="52.7109375" customWidth="1"/>
    <col min="13" max="15" width="27.7109375" customWidth="1"/>
    <col min="16" max="16" width="17.7109375" style="1" customWidth="1"/>
    <col min="17" max="17" width="27.7109375" customWidth="1"/>
    <col min="18" max="18" width="52.7109375" customWidth="1"/>
    <col min="19" max="22" width="27.7109375" customWidth="1"/>
    <col min="23" max="23" width="52.7109375" customWidth="1"/>
    <col min="24" max="27" width="27.7109375" customWidth="1"/>
    <col min="28" max="29" width="52.7109375" customWidth="1"/>
    <col min="30" max="33" width="27.7109375" customWidth="1"/>
    <col min="34" max="34" width="52.7109375" customWidth="1"/>
    <col min="35" max="37" width="27.7109375" customWidth="1"/>
    <col min="38" max="38" width="52.7109375" customWidth="1"/>
  </cols>
  <sheetData>
    <row r="1" spans="1:38" ht="32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4" spans="1:38" ht="48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2" t="s">
        <v>26</v>
      </c>
      <c r="Q4" s="2" t="s">
        <v>27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37</v>
      </c>
      <c r="AB4" s="2" t="s">
        <v>38</v>
      </c>
      <c r="AC4" s="2" t="s">
        <v>39</v>
      </c>
      <c r="AD4" s="2" t="s">
        <v>40</v>
      </c>
      <c r="AE4" s="2" t="s">
        <v>41</v>
      </c>
      <c r="AF4" s="2" t="s">
        <v>42</v>
      </c>
      <c r="AG4" s="2" t="s">
        <v>43</v>
      </c>
      <c r="AH4" s="2" t="s">
        <v>44</v>
      </c>
      <c r="AI4" s="2" t="s">
        <v>45</v>
      </c>
      <c r="AJ4" s="2" t="s">
        <v>46</v>
      </c>
      <c r="AK4" s="2" t="s">
        <v>47</v>
      </c>
      <c r="AL4" s="2" t="s">
        <v>48</v>
      </c>
    </row>
    <row r="5" spans="1:38" ht="88" customHeight="1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4" t="s">
        <v>54</v>
      </c>
      <c r="G5" s="3" t="s">
        <v>55</v>
      </c>
      <c r="H5" s="3" t="s">
        <v>0</v>
      </c>
      <c r="I5" s="3" t="s">
        <v>56</v>
      </c>
      <c r="J5" s="3"/>
      <c r="K5" s="3"/>
      <c r="L5" s="3" t="s">
        <v>57</v>
      </c>
      <c r="M5" s="3" t="s">
        <v>58</v>
      </c>
      <c r="N5" s="3"/>
      <c r="O5" s="3"/>
      <c r="P5" s="3"/>
      <c r="Q5" s="3"/>
      <c r="R5" s="3" t="s">
        <v>59</v>
      </c>
      <c r="S5" s="5" t="str">
        <f>IF(A5="","",IF(H5="Fechado","Fechado",IF(H5="Perdido","Perdido",IF(K5="","Sem data",IF(K5&lt;TODAY(),"Atrasado",IF(K5=TODAY(),"Hoje","Agendado")))))))</f>
        <v>Sem data</v>
      </c>
      <c r="T5" s="3" t="s">
        <v>61</v>
      </c>
      <c r="U5" s="3" t="s">
        <v>52</v>
      </c>
      <c r="V5" s="4" t="s">
        <v>54</v>
      </c>
      <c r="W5" s="4" t="s">
        <v>62</v>
      </c>
      <c r="X5" s="1">
        <v>46302</v>
      </c>
      <c r="Y5" s="3" t="s">
        <v>63</v>
      </c>
      <c r="Z5" s="3">
        <v>8</v>
      </c>
      <c r="AA5" s="3">
        <v>5</v>
      </c>
      <c r="AB5" s="3" t="s">
        <v>56</v>
      </c>
      <c r="AC5" s="3" t="s">
        <v>64</v>
      </c>
      <c r="AD5" s="5" t="str">
        <f>IF(A5="","",IF(OR(AK5&lt;&gt;"Qualificado",Y5&lt;&gt;"Verificado",U5="",Z5="",AA5=""),"Pendente",IF(AND(Z5&gt;=7,AA5&gt;=6),"Alta",IF(AND(Z5&gt;=5,AA5&gt;=4),"Média","Baixa"))))</f>
        <v>Pendente</v>
      </c>
      <c r="AE5" s="3" t="s">
        <v>66</v>
      </c>
      <c r="AF5" s="3" t="s">
        <v>51</v>
      </c>
      <c r="AG5" s="3" t="s">
        <v>67</v>
      </c>
      <c r="AH5" s="3"/>
      <c r="AI5" s="3" t="s">
        <v>66</v>
      </c>
      <c r="AJ5" s="3" t="s">
        <v>68</v>
      </c>
      <c r="AK5" s="3" t="s">
        <v>65</v>
      </c>
      <c r="AL5" s="3" t="s">
        <v>69</v>
      </c>
    </row>
    <row r="6" spans="1:38" ht="88" customHeight="1">
      <c r="A6" s="3" t="s">
        <v>70</v>
      </c>
      <c r="B6" s="3" t="s">
        <v>71</v>
      </c>
      <c r="C6" s="3" t="s">
        <v>72</v>
      </c>
      <c r="D6" s="3" t="s">
        <v>73</v>
      </c>
      <c r="E6" s="3" t="s">
        <v>74</v>
      </c>
      <c r="F6" s="4" t="s">
        <v>75</v>
      </c>
      <c r="G6" s="3" t="s">
        <v>55</v>
      </c>
      <c r="H6" s="3" t="s">
        <v>0</v>
      </c>
      <c r="I6" s="3" t="s">
        <v>76</v>
      </c>
      <c r="J6" s="3"/>
      <c r="K6" s="3"/>
      <c r="L6" s="3" t="s">
        <v>77</v>
      </c>
      <c r="M6" s="3" t="s">
        <v>58</v>
      </c>
      <c r="N6" s="3"/>
      <c r="O6" s="3"/>
      <c r="P6" s="3"/>
      <c r="Q6" s="3"/>
      <c r="R6" s="3" t="s">
        <v>78</v>
      </c>
      <c r="S6" s="5" t="str">
        <f>IF(A6="","",IF(H6="Fechado","Fechado",IF(H6="Perdido","Perdido",IF(K6="","Sem data",IF(K6&lt;TODAY(),"Atrasado",IF(K6=TODAY(),"Hoje","Agendado")))))))</f>
        <v>Sem data</v>
      </c>
      <c r="T6" s="3" t="s">
        <v>61</v>
      </c>
      <c r="U6" s="3" t="s">
        <v>73</v>
      </c>
      <c r="V6" s="4" t="s">
        <v>75</v>
      </c>
      <c r="W6" s="4" t="s">
        <v>79</v>
      </c>
      <c r="X6" s="1">
        <v>46302</v>
      </c>
      <c r="Y6" s="3" t="s">
        <v>63</v>
      </c>
      <c r="Z6" s="3">
        <v>6</v>
      </c>
      <c r="AA6" s="3">
        <v>8</v>
      </c>
      <c r="AB6" s="3" t="s">
        <v>76</v>
      </c>
      <c r="AC6" s="3" t="s">
        <v>80</v>
      </c>
      <c r="AD6" s="5" t="str">
        <f>IF(A6="","",IF(OR(AK6&lt;&gt;"Qualificado",Y6&lt;&gt;"Verificado",U6="",Z6="",AA6=""),"Pendente",IF(AND(Z6&gt;=7,AA6&gt;=6),"Alta",IF(AND(Z6&gt;=5,AA6&gt;=4),"Média","Baixa"))))</f>
        <v>Pendente</v>
      </c>
      <c r="AE6" s="3" t="s">
        <v>66</v>
      </c>
      <c r="AF6" s="3" t="s">
        <v>72</v>
      </c>
      <c r="AG6" s="3" t="s">
        <v>67</v>
      </c>
      <c r="AH6" s="4" t="s">
        <v>79</v>
      </c>
      <c r="AI6" s="3" t="s">
        <v>66</v>
      </c>
      <c r="AJ6" s="3" t="s">
        <v>68</v>
      </c>
      <c r="AK6" s="3" t="s">
        <v>65</v>
      </c>
      <c r="AL6" s="3" t="s">
        <v>69</v>
      </c>
    </row>
    <row r="7" spans="1:38" ht="88" customHeight="1">
      <c r="A7" s="3" t="s">
        <v>81</v>
      </c>
      <c r="B7" s="3" t="s">
        <v>50</v>
      </c>
      <c r="C7" s="3" t="s">
        <v>82</v>
      </c>
      <c r="D7" s="3" t="s">
        <v>83</v>
      </c>
      <c r="E7" s="3" t="s">
        <v>84</v>
      </c>
      <c r="F7" s="4" t="s">
        <v>85</v>
      </c>
      <c r="G7" s="3" t="s">
        <v>55</v>
      </c>
      <c r="H7" s="3" t="s">
        <v>0</v>
      </c>
      <c r="I7" s="3" t="s">
        <v>86</v>
      </c>
      <c r="J7" s="3"/>
      <c r="K7" s="3"/>
      <c r="L7" s="3" t="s">
        <v>87</v>
      </c>
      <c r="M7" s="3" t="s">
        <v>58</v>
      </c>
      <c r="N7" s="3"/>
      <c r="O7" s="3"/>
      <c r="P7" s="3"/>
      <c r="Q7" s="3"/>
      <c r="R7" s="3" t="s">
        <v>88</v>
      </c>
      <c r="S7" s="5" t="str">
        <f>IF(A7="","",IF(H7="Fechado","Fechado",IF(H7="Perdido","Perdido",IF(K7="","Sem data",IF(K7&lt;TODAY(),"Atrasado",IF(K7=TODAY(),"Hoje","Agendado")))))))</f>
        <v>Sem data</v>
      </c>
      <c r="T7" s="3" t="s">
        <v>61</v>
      </c>
      <c r="U7" s="3" t="s">
        <v>83</v>
      </c>
      <c r="V7" s="4" t="s">
        <v>85</v>
      </c>
      <c r="W7" s="4" t="s">
        <v>85</v>
      </c>
      <c r="X7" s="1">
        <v>46302</v>
      </c>
      <c r="Y7" s="3" t="s">
        <v>63</v>
      </c>
      <c r="Z7" s="3">
        <v>7</v>
      </c>
      <c r="AA7" s="3">
        <v>8</v>
      </c>
      <c r="AB7" s="3" t="s">
        <v>86</v>
      </c>
      <c r="AC7" s="3" t="s">
        <v>89</v>
      </c>
      <c r="AD7" s="5" t="str">
        <f>IF(A7="","",IF(OR(AK7&lt;&gt;"Qualificado",Y7&lt;&gt;"Verificado",U7="",Z7="",AA7=""),"Pendente",IF(AND(Z7&gt;=7,AA7&gt;=6),"Alta",IF(AND(Z7&gt;=5,AA7&gt;=4),"Média","Baixa"))))</f>
        <v>Pendente</v>
      </c>
      <c r="AE7" s="3" t="s">
        <v>66</v>
      </c>
      <c r="AF7" s="3" t="s">
        <v>82</v>
      </c>
      <c r="AG7" s="3" t="s">
        <v>67</v>
      </c>
      <c r="AH7" s="4" t="s">
        <v>85</v>
      </c>
      <c r="AI7" s="3" t="s">
        <v>66</v>
      </c>
      <c r="AJ7" s="3" t="s">
        <v>68</v>
      </c>
      <c r="AK7" s="3" t="s">
        <v>65</v>
      </c>
      <c r="AL7" s="3" t="s">
        <v>69</v>
      </c>
    </row>
    <row r="8" spans="1:38" ht="88" customHeight="1">
      <c r="A8" s="3" t="s">
        <v>90</v>
      </c>
      <c r="B8" s="3" t="s">
        <v>91</v>
      </c>
      <c r="C8" s="3" t="s">
        <v>51</v>
      </c>
      <c r="D8" s="3"/>
      <c r="E8" s="3"/>
      <c r="F8" s="4" t="s">
        <v>92</v>
      </c>
      <c r="G8" s="3" t="s">
        <v>55</v>
      </c>
      <c r="H8" s="3" t="s">
        <v>0</v>
      </c>
      <c r="I8" s="3" t="s">
        <v>93</v>
      </c>
      <c r="J8" s="3"/>
      <c r="K8" s="3"/>
      <c r="L8" s="3" t="s">
        <v>94</v>
      </c>
      <c r="M8" s="3" t="s">
        <v>58</v>
      </c>
      <c r="N8" s="3"/>
      <c r="O8" s="3"/>
      <c r="P8" s="3"/>
      <c r="Q8" s="3"/>
      <c r="R8" s="3" t="s">
        <v>95</v>
      </c>
      <c r="S8" s="5" t="str">
        <f>IF(A8="","",IF(H8="Fechado","Fechado",IF(H8="Perdido","Perdido",IF(K8="","Sem data",IF(K8&lt;TODAY(),"Atrasado",IF(K8=TODAY(),"Hoje","Agendado")))))))</f>
        <v>Sem data</v>
      </c>
      <c r="T8" s="3" t="s">
        <v>96</v>
      </c>
      <c r="U8" s="3" t="s">
        <v>97</v>
      </c>
      <c r="V8" s="4" t="s">
        <v>92</v>
      </c>
      <c r="W8" s="4" t="s">
        <v>92</v>
      </c>
      <c r="X8" s="1">
        <v>46302</v>
      </c>
      <c r="Y8" s="3" t="s">
        <v>63</v>
      </c>
      <c r="Z8" s="3">
        <v>5</v>
      </c>
      <c r="AA8" s="3">
        <v>8</v>
      </c>
      <c r="AB8" s="3" t="s">
        <v>93</v>
      </c>
      <c r="AC8" s="3" t="s">
        <v>98</v>
      </c>
      <c r="AD8" s="5" t="str">
        <f>IF(A8="","",IF(OR(AK8&lt;&gt;"Qualificado",Y8&lt;&gt;"Verificado",U8="",Z8="",AA8=""),"Pendente",IF(AND(Z8&gt;=7,AA8&gt;=6),"Alta",IF(AND(Z8&gt;=5,AA8&gt;=4),"Média","Baixa"))))</f>
        <v>Pendente</v>
      </c>
      <c r="AE8" s="3" t="s">
        <v>66</v>
      </c>
      <c r="AF8" s="3" t="s">
        <v>51</v>
      </c>
      <c r="AG8" s="3" t="s">
        <v>67</v>
      </c>
      <c r="AH8" s="3"/>
      <c r="AI8" s="3" t="s">
        <v>66</v>
      </c>
      <c r="AJ8" s="3" t="s">
        <v>68</v>
      </c>
      <c r="AK8" s="3" t="s">
        <v>65</v>
      </c>
      <c r="AL8" s="3" t="s">
        <v>69</v>
      </c>
    </row>
    <row r="9" spans="1:38" ht="88" customHeight="1">
      <c r="A9" s="3" t="s">
        <v>99</v>
      </c>
      <c r="B9" s="3" t="s">
        <v>50</v>
      </c>
      <c r="C9" s="3" t="s">
        <v>100</v>
      </c>
      <c r="D9" s="3" t="s">
        <v>101</v>
      </c>
      <c r="E9" s="3" t="s">
        <v>102</v>
      </c>
      <c r="F9" s="4" t="s">
        <v>103</v>
      </c>
      <c r="G9" s="3" t="s">
        <v>55</v>
      </c>
      <c r="H9" s="3" t="s">
        <v>0</v>
      </c>
      <c r="I9" s="3" t="s">
        <v>104</v>
      </c>
      <c r="J9" s="3"/>
      <c r="K9" s="3"/>
      <c r="L9" s="3" t="s">
        <v>105</v>
      </c>
      <c r="M9" s="3" t="s">
        <v>58</v>
      </c>
      <c r="N9" s="3"/>
      <c r="O9" s="3"/>
      <c r="P9" s="3"/>
      <c r="Q9" s="3"/>
      <c r="R9" s="3" t="s">
        <v>106</v>
      </c>
      <c r="S9" s="5" t="str">
        <f>IF(A9="","",IF(H9="Fechado","Fechado",IF(H9="Perdido","Perdido",IF(K9="","Sem data",IF(K9&lt;TODAY(),"Atrasado",IF(K9=TODAY(),"Hoje","Agendado")))))))</f>
        <v>Sem data</v>
      </c>
      <c r="T9" s="3" t="s">
        <v>61</v>
      </c>
      <c r="U9" s="3" t="s">
        <v>101</v>
      </c>
      <c r="V9" s="4" t="s">
        <v>103</v>
      </c>
      <c r="W9" s="4" t="s">
        <v>103</v>
      </c>
      <c r="X9" s="1">
        <v>46302</v>
      </c>
      <c r="Y9" s="3" t="s">
        <v>63</v>
      </c>
      <c r="Z9" s="3">
        <v>4</v>
      </c>
      <c r="AA9" s="3">
        <v>7</v>
      </c>
      <c r="AB9" s="3" t="s">
        <v>104</v>
      </c>
      <c r="AC9" s="3" t="s">
        <v>107</v>
      </c>
      <c r="AD9" s="5" t="str">
        <f>IF(A9="","",IF(OR(AK9&lt;&gt;"Qualificado",Y9&lt;&gt;"Verificado",U9="",Z9="",AA9=""),"Pendente",IF(AND(Z9&gt;=7,AA9&gt;=6),"Alta",IF(AND(Z9&gt;=5,AA9&gt;=4),"Média","Baixa"))))</f>
        <v>Pendente</v>
      </c>
      <c r="AE9" s="3" t="s">
        <v>66</v>
      </c>
      <c r="AF9" s="3" t="s">
        <v>100</v>
      </c>
      <c r="AG9" s="3" t="s">
        <v>67</v>
      </c>
      <c r="AH9" s="4" t="s">
        <v>103</v>
      </c>
      <c r="AI9" s="3" t="s">
        <v>66</v>
      </c>
      <c r="AJ9" s="3" t="s">
        <v>68</v>
      </c>
      <c r="AK9" s="3" t="s">
        <v>65</v>
      </c>
      <c r="AL9" s="3" t="s">
        <v>69</v>
      </c>
    </row>
    <row r="10" spans="1:38" ht="88" customHeight="1">
      <c r="A10" s="3" t="s">
        <v>108</v>
      </c>
      <c r="B10" s="3" t="s">
        <v>109</v>
      </c>
      <c r="C10" s="3" t="s">
        <v>110</v>
      </c>
      <c r="D10" s="3" t="s">
        <v>111</v>
      </c>
      <c r="E10" s="3"/>
      <c r="F10" s="4" t="s">
        <v>112</v>
      </c>
      <c r="G10" s="3" t="s">
        <v>55</v>
      </c>
      <c r="H10" s="3" t="s">
        <v>0</v>
      </c>
      <c r="I10" s="3" t="s">
        <v>113</v>
      </c>
      <c r="J10" s="3"/>
      <c r="K10" s="3"/>
      <c r="L10" s="3" t="s">
        <v>114</v>
      </c>
      <c r="M10" s="3" t="s">
        <v>58</v>
      </c>
      <c r="N10" s="3"/>
      <c r="O10" s="3"/>
      <c r="P10" s="3"/>
      <c r="Q10" s="3"/>
      <c r="R10" s="3" t="s">
        <v>115</v>
      </c>
      <c r="S10" s="5" t="str">
        <f>IF(A10="","",IF(H10="Fechado","Fechado",IF(H10="Perdido","Perdido",IF(K10="","Sem data",IF(K10&lt;TODAY(),"Atrasado",IF(K10=TODAY(),"Hoje","Agendado")))))))</f>
        <v>Sem data</v>
      </c>
      <c r="T10" s="3" t="s">
        <v>61</v>
      </c>
      <c r="U10" s="3" t="s">
        <v>111</v>
      </c>
      <c r="V10" s="4" t="s">
        <v>112</v>
      </c>
      <c r="W10" s="4" t="s">
        <v>116</v>
      </c>
      <c r="X10" s="1">
        <v>46302</v>
      </c>
      <c r="Y10" s="3" t="s">
        <v>63</v>
      </c>
      <c r="Z10" s="3">
        <v>7</v>
      </c>
      <c r="AA10" s="3">
        <v>7</v>
      </c>
      <c r="AB10" s="3" t="s">
        <v>113</v>
      </c>
      <c r="AC10" s="3" t="s">
        <v>117</v>
      </c>
      <c r="AD10" s="5" t="str">
        <f>IF(A10="","",IF(OR(AK10&lt;&gt;"Qualificado",Y10&lt;&gt;"Verificado",U10="",Z10="",AA10=""),"Pendente",IF(AND(Z10&gt;=7,AA10&gt;=6),"Alta",IF(AND(Z10&gt;=5,AA10&gt;=4),"Média","Baixa"))))</f>
        <v>Pendente</v>
      </c>
      <c r="AE10" s="3" t="s">
        <v>66</v>
      </c>
      <c r="AF10" s="3" t="s">
        <v>110</v>
      </c>
      <c r="AG10" s="3" t="s">
        <v>67</v>
      </c>
      <c r="AH10" s="4" t="s">
        <v>116</v>
      </c>
      <c r="AI10" s="3" t="s">
        <v>66</v>
      </c>
      <c r="AJ10" s="3" t="s">
        <v>68</v>
      </c>
      <c r="AK10" s="3" t="s">
        <v>65</v>
      </c>
      <c r="AL10" s="3" t="s">
        <v>69</v>
      </c>
    </row>
    <row r="11" spans="1:38" ht="88" customHeight="1">
      <c r="A11" s="3" t="s">
        <v>118</v>
      </c>
      <c r="B11" s="3" t="s">
        <v>119</v>
      </c>
      <c r="C11" s="3" t="s">
        <v>51</v>
      </c>
      <c r="D11" s="3" t="s">
        <v>120</v>
      </c>
      <c r="E11" s="3"/>
      <c r="F11" s="4" t="s">
        <v>121</v>
      </c>
      <c r="G11" s="3" t="s">
        <v>55</v>
      </c>
      <c r="H11" s="3" t="s">
        <v>0</v>
      </c>
      <c r="I11" s="3" t="s">
        <v>122</v>
      </c>
      <c r="J11" s="3"/>
      <c r="K11" s="3"/>
      <c r="L11" s="3" t="s">
        <v>123</v>
      </c>
      <c r="M11" s="3" t="s">
        <v>58</v>
      </c>
      <c r="N11" s="3"/>
      <c r="O11" s="3"/>
      <c r="P11" s="3"/>
      <c r="Q11" s="3"/>
      <c r="R11" s="3" t="s">
        <v>124</v>
      </c>
      <c r="S11" s="5" t="str">
        <f>IF(A11="","",IF(H11="Fechado","Fechado",IF(H11="Perdido","Perdido",IF(K11="","Sem data",IF(K11&lt;TODAY(),"Atrasado",IF(K11=TODAY(),"Hoje","Agendado")))))))</f>
        <v>Sem data</v>
      </c>
      <c r="T11" s="3" t="s">
        <v>61</v>
      </c>
      <c r="U11" s="3" t="s">
        <v>120</v>
      </c>
      <c r="V11" s="4" t="s">
        <v>121</v>
      </c>
      <c r="W11" s="4" t="s">
        <v>121</v>
      </c>
      <c r="X11" s="1">
        <v>46302</v>
      </c>
      <c r="Y11" s="3" t="s">
        <v>63</v>
      </c>
      <c r="Z11" s="3">
        <v>3</v>
      </c>
      <c r="AA11" s="3">
        <v>9</v>
      </c>
      <c r="AB11" s="3" t="s">
        <v>122</v>
      </c>
      <c r="AC11" s="3" t="s">
        <v>125</v>
      </c>
      <c r="AD11" s="5" t="str">
        <f>IF(A11="","",IF(OR(AK11&lt;&gt;"Qualificado",Y11&lt;&gt;"Verificado",U11="",Z11="",AA11=""),"Pendente",IF(AND(Z11&gt;=7,AA11&gt;=6),"Alta",IF(AND(Z11&gt;=5,AA11&gt;=4),"Média","Baixa"))))</f>
        <v>Pendente</v>
      </c>
      <c r="AE11" s="3" t="s">
        <v>66</v>
      </c>
      <c r="AF11" s="3" t="s">
        <v>51</v>
      </c>
      <c r="AG11" s="3" t="s">
        <v>67</v>
      </c>
      <c r="AH11" s="3"/>
      <c r="AI11" s="3" t="s">
        <v>66</v>
      </c>
      <c r="AJ11" s="3" t="s">
        <v>68</v>
      </c>
      <c r="AK11" s="3" t="s">
        <v>65</v>
      </c>
      <c r="AL11" s="3" t="s">
        <v>69</v>
      </c>
    </row>
    <row r="12" spans="1:38" ht="88" customHeight="1">
      <c r="A12" s="3" t="s">
        <v>126</v>
      </c>
      <c r="B12" s="3" t="s">
        <v>127</v>
      </c>
      <c r="C12" s="3" t="s">
        <v>128</v>
      </c>
      <c r="D12" s="3"/>
      <c r="E12" s="3"/>
      <c r="F12" s="4" t="s">
        <v>129</v>
      </c>
      <c r="G12" s="3" t="s">
        <v>55</v>
      </c>
      <c r="H12" s="3" t="s">
        <v>0</v>
      </c>
      <c r="I12" s="3" t="s">
        <v>130</v>
      </c>
      <c r="J12" s="3"/>
      <c r="K12" s="3"/>
      <c r="L12" s="3" t="s">
        <v>131</v>
      </c>
      <c r="M12" s="3" t="s">
        <v>58</v>
      </c>
      <c r="N12" s="3"/>
      <c r="O12" s="3"/>
      <c r="P12" s="3"/>
      <c r="Q12" s="3"/>
      <c r="R12" s="3" t="s">
        <v>132</v>
      </c>
      <c r="S12" s="5" t="str">
        <f>IF(A12="","",IF(H12="Fechado","Fechado",IF(H12="Perdido","Perdido",IF(K12="","Sem data",IF(K12&lt;TODAY(),"Atrasado",IF(K12=TODAY(),"Hoje","Agendado")))))))</f>
        <v>Sem data</v>
      </c>
      <c r="T12" s="3" t="s">
        <v>133</v>
      </c>
      <c r="U12" s="3" t="s">
        <v>134</v>
      </c>
      <c r="V12" s="4" t="s">
        <v>129</v>
      </c>
      <c r="W12" s="4" t="s">
        <v>129</v>
      </c>
      <c r="X12" s="1">
        <v>46302</v>
      </c>
      <c r="Y12" s="3" t="s">
        <v>63</v>
      </c>
      <c r="Z12" s="3">
        <v>4</v>
      </c>
      <c r="AA12" s="3">
        <v>9</v>
      </c>
      <c r="AB12" s="3" t="s">
        <v>130</v>
      </c>
      <c r="AC12" s="3" t="s">
        <v>135</v>
      </c>
      <c r="AD12" s="5" t="str">
        <f>IF(A12="","",IF(OR(AK12&lt;&gt;"Qualificado",Y12&lt;&gt;"Verificado",U12="",Z12="",AA12=""),"Pendente",IF(AND(Z12&gt;=7,AA12&gt;=6),"Alta",IF(AND(Z12&gt;=5,AA12&gt;=4),"Média","Baixa"))))</f>
        <v>Baixa</v>
      </c>
      <c r="AE12" s="3" t="s">
        <v>66</v>
      </c>
      <c r="AF12" s="3" t="s">
        <v>128</v>
      </c>
      <c r="AG12" s="3" t="s">
        <v>137</v>
      </c>
      <c r="AH12" s="4" t="s">
        <v>138</v>
      </c>
      <c r="AI12" s="3" t="s">
        <v>66</v>
      </c>
      <c r="AJ12" s="3" t="s">
        <v>68</v>
      </c>
      <c r="AK12" s="3" t="s">
        <v>139</v>
      </c>
      <c r="AL12" s="3"/>
    </row>
    <row r="13" spans="1:38" ht="88" customHeight="1">
      <c r="A13" s="3" t="s">
        <v>140</v>
      </c>
      <c r="B13" s="3" t="s">
        <v>50</v>
      </c>
      <c r="C13" s="3" t="s">
        <v>141</v>
      </c>
      <c r="D13" s="3" t="s">
        <v>142</v>
      </c>
      <c r="E13" s="3" t="s">
        <v>143</v>
      </c>
      <c r="F13" s="4" t="s">
        <v>144</v>
      </c>
      <c r="G13" s="3" t="s">
        <v>55</v>
      </c>
      <c r="H13" s="3" t="s">
        <v>0</v>
      </c>
      <c r="I13" s="3" t="s">
        <v>145</v>
      </c>
      <c r="J13" s="3"/>
      <c r="K13" s="3"/>
      <c r="L13" s="3" t="s">
        <v>146</v>
      </c>
      <c r="M13" s="3" t="s">
        <v>58</v>
      </c>
      <c r="N13" s="3"/>
      <c r="O13" s="3"/>
      <c r="P13" s="3"/>
      <c r="Q13" s="3"/>
      <c r="R13" s="3" t="s">
        <v>147</v>
      </c>
      <c r="S13" s="5" t="str">
        <f>IF(A13="","",IF(H13="Fechado","Fechado",IF(H13="Perdido","Perdido",IF(K13="","Sem data",IF(K13&lt;TODAY(),"Atrasado",IF(K13=TODAY(),"Hoje","Agendado")))))))</f>
        <v>Sem data</v>
      </c>
      <c r="T13" s="3" t="s">
        <v>61</v>
      </c>
      <c r="U13" s="3" t="s">
        <v>142</v>
      </c>
      <c r="V13" s="4" t="s">
        <v>144</v>
      </c>
      <c r="W13" s="4" t="s">
        <v>148</v>
      </c>
      <c r="X13" s="1">
        <v>46302</v>
      </c>
      <c r="Y13" s="3" t="s">
        <v>63</v>
      </c>
      <c r="Z13" s="3">
        <v>6</v>
      </c>
      <c r="AA13" s="3">
        <v>8</v>
      </c>
      <c r="AB13" s="3" t="s">
        <v>145</v>
      </c>
      <c r="AC13" s="3" t="s">
        <v>149</v>
      </c>
      <c r="AD13" s="5" t="str">
        <f>IF(A13="","",IF(OR(AK13&lt;&gt;"Qualificado",Y13&lt;&gt;"Verificado",U13="",Z13="",AA13=""),"Pendente",IF(AND(Z13&gt;=7,AA13&gt;=6),"Alta",IF(AND(Z13&gt;=5,AA13&gt;=4),"Média","Baixa"))))</f>
        <v>Média</v>
      </c>
      <c r="AE13" s="3" t="s">
        <v>66</v>
      </c>
      <c r="AF13" s="3" t="s">
        <v>141</v>
      </c>
      <c r="AG13" s="3" t="s">
        <v>137</v>
      </c>
      <c r="AH13" s="4" t="s">
        <v>148</v>
      </c>
      <c r="AI13" s="3" t="s">
        <v>66</v>
      </c>
      <c r="AJ13" s="3" t="s">
        <v>68</v>
      </c>
      <c r="AK13" s="3" t="s">
        <v>139</v>
      </c>
      <c r="AL13" s="3"/>
    </row>
    <row r="14" spans="1:38" ht="88" customHeight="1">
      <c r="A14" s="3" t="s">
        <v>150</v>
      </c>
      <c r="B14" s="3" t="s">
        <v>151</v>
      </c>
      <c r="C14" s="3" t="s">
        <v>51</v>
      </c>
      <c r="D14" s="3" t="s">
        <v>152</v>
      </c>
      <c r="E14" s="3"/>
      <c r="F14" s="4" t="s">
        <v>153</v>
      </c>
      <c r="G14" s="3" t="s">
        <v>55</v>
      </c>
      <c r="H14" s="3" t="s">
        <v>0</v>
      </c>
      <c r="I14" s="3" t="s">
        <v>154</v>
      </c>
      <c r="J14" s="3"/>
      <c r="K14" s="3"/>
      <c r="L14" s="3" t="s">
        <v>155</v>
      </c>
      <c r="M14" s="3" t="s">
        <v>58</v>
      </c>
      <c r="N14" s="3"/>
      <c r="O14" s="3"/>
      <c r="P14" s="3"/>
      <c r="Q14" s="3"/>
      <c r="R14" s="3" t="s">
        <v>156</v>
      </c>
      <c r="S14" s="5" t="str">
        <f>IF(A14="","",IF(H14="Fechado","Fechado",IF(H14="Perdido","Perdido",IF(K14="","Sem data",IF(K14&lt;TODAY(),"Atrasado",IF(K14=TODAY(),"Hoje","Agendado")))))))</f>
        <v>Sem data</v>
      </c>
      <c r="T14" s="3" t="s">
        <v>61</v>
      </c>
      <c r="U14" s="3" t="s">
        <v>152</v>
      </c>
      <c r="V14" s="4" t="s">
        <v>153</v>
      </c>
      <c r="W14" s="4" t="s">
        <v>157</v>
      </c>
      <c r="X14" s="1">
        <v>46302</v>
      </c>
      <c r="Y14" s="3" t="s">
        <v>63</v>
      </c>
      <c r="Z14" s="3">
        <v>5</v>
      </c>
      <c r="AA14" s="3">
        <v>7</v>
      </c>
      <c r="AB14" s="3" t="s">
        <v>154</v>
      </c>
      <c r="AC14" s="3" t="s">
        <v>158</v>
      </c>
      <c r="AD14" s="5" t="str">
        <f>IF(A14="","",IF(OR(AK14&lt;&gt;"Qualificado",Y14&lt;&gt;"Verificado",U14="",Z14="",AA14=""),"Pendente",IF(AND(Z14&gt;=7,AA14&gt;=6),"Alta",IF(AND(Z14&gt;=5,AA14&gt;=4),"Média","Baixa"))))</f>
        <v>Pendente</v>
      </c>
      <c r="AE14" s="3" t="s">
        <v>159</v>
      </c>
      <c r="AF14" s="3" t="s">
        <v>51</v>
      </c>
      <c r="AG14" s="3" t="s">
        <v>67</v>
      </c>
      <c r="AH14" s="3"/>
      <c r="AI14" s="3" t="s">
        <v>160</v>
      </c>
      <c r="AJ14" s="3" t="s">
        <v>68</v>
      </c>
      <c r="AK14" s="3" t="s">
        <v>65</v>
      </c>
      <c r="AL14" s="3" t="s">
        <v>69</v>
      </c>
    </row>
    <row r="15" spans="1:38" ht="88" customHeight="1">
      <c r="A15" s="3" t="s">
        <v>161</v>
      </c>
      <c r="B15" s="3" t="s">
        <v>162</v>
      </c>
      <c r="C15" s="3" t="s">
        <v>163</v>
      </c>
      <c r="D15" s="3"/>
      <c r="E15" s="3"/>
      <c r="F15" s="3"/>
      <c r="G15" s="3" t="s">
        <v>55</v>
      </c>
      <c r="H15" s="3" t="s">
        <v>0</v>
      </c>
      <c r="I15" s="3" t="s">
        <v>164</v>
      </c>
      <c r="J15" s="3"/>
      <c r="K15" s="3"/>
      <c r="L15" s="3" t="s">
        <v>165</v>
      </c>
      <c r="M15" s="3" t="s">
        <v>58</v>
      </c>
      <c r="N15" s="3"/>
      <c r="O15" s="3"/>
      <c r="P15" s="3"/>
      <c r="Q15" s="3"/>
      <c r="R15" s="3" t="s">
        <v>166</v>
      </c>
      <c r="S15" s="5" t="str">
        <f>IF(A15="","",IF(H15="Fechado","Fechado",IF(H15="Perdido","Perdido",IF(K15="","Sem data",IF(K15&lt;TODAY(),"Atrasado",IF(K15=TODAY(),"Hoje","Agendado")))))))</f>
        <v>Sem data</v>
      </c>
      <c r="T15" s="3" t="s">
        <v>133</v>
      </c>
      <c r="U15" s="3" t="s">
        <v>167</v>
      </c>
      <c r="V15" s="3"/>
      <c r="W15" s="4" t="s">
        <v>168</v>
      </c>
      <c r="X15" s="1">
        <v>46302</v>
      </c>
      <c r="Y15" s="3" t="s">
        <v>65</v>
      </c>
      <c r="Z15" s="3">
        <v>6</v>
      </c>
      <c r="AA15" s="3">
        <v>6</v>
      </c>
      <c r="AB15" s="3" t="s">
        <v>164</v>
      </c>
      <c r="AC15" s="3" t="s">
        <v>169</v>
      </c>
      <c r="AD15" s="5" t="str">
        <f>IF(A15="","",IF(OR(AK15&lt;&gt;"Qualificado",Y15&lt;&gt;"Verificado",U15="",Z15="",AA15=""),"Pendente",IF(AND(Z15&gt;=7,AA15&gt;=6),"Alta",IF(AND(Z15&gt;=5,AA15&gt;=4),"Média","Baixa"))))</f>
        <v>Pendente</v>
      </c>
      <c r="AE15" s="3" t="s">
        <v>170</v>
      </c>
      <c r="AF15" s="3" t="s">
        <v>163</v>
      </c>
      <c r="AG15" s="3" t="s">
        <v>171</v>
      </c>
      <c r="AH15" s="4" t="s">
        <v>168</v>
      </c>
      <c r="AI15" s="3" t="s">
        <v>160</v>
      </c>
      <c r="AJ15" s="3" t="s">
        <v>136</v>
      </c>
      <c r="AK15" s="3" t="s">
        <v>65</v>
      </c>
      <c r="AL15" s="3" t="s">
        <v>172</v>
      </c>
    </row>
    <row r="16" spans="1:38" ht="88" customHeight="1">
      <c r="A16" s="3" t="s">
        <v>173</v>
      </c>
      <c r="B16" s="3" t="s">
        <v>174</v>
      </c>
      <c r="C16" s="3" t="s">
        <v>175</v>
      </c>
      <c r="D16" s="3"/>
      <c r="E16" s="3"/>
      <c r="F16" s="3"/>
      <c r="G16" s="3" t="s">
        <v>55</v>
      </c>
      <c r="H16" s="3" t="s">
        <v>0</v>
      </c>
      <c r="I16" s="3" t="s">
        <v>176</v>
      </c>
      <c r="J16" s="3"/>
      <c r="K16" s="3"/>
      <c r="L16" s="3" t="s">
        <v>177</v>
      </c>
      <c r="M16" s="3" t="s">
        <v>58</v>
      </c>
      <c r="N16" s="3"/>
      <c r="O16" s="3"/>
      <c r="P16" s="3"/>
      <c r="Q16" s="3"/>
      <c r="R16" s="3" t="s">
        <v>178</v>
      </c>
      <c r="S16" s="5" t="str">
        <f>IF(A16="","",IF(H16="Fechado","Fechado",IF(H16="Perdido","Perdido",IF(K16="","Sem data",IF(K16&lt;TODAY(),"Atrasado",IF(K16=TODAY(),"Hoje","Agendado")))))))</f>
        <v>Sem data</v>
      </c>
      <c r="T16" s="3" t="s">
        <v>133</v>
      </c>
      <c r="U16" s="3" t="s">
        <v>179</v>
      </c>
      <c r="V16" s="3"/>
      <c r="W16" s="4" t="s">
        <v>180</v>
      </c>
      <c r="X16" s="1">
        <v>46302</v>
      </c>
      <c r="Y16" s="3" t="s">
        <v>65</v>
      </c>
      <c r="Z16" s="3">
        <v>6</v>
      </c>
      <c r="AA16" s="3">
        <v>6</v>
      </c>
      <c r="AB16" s="3" t="s">
        <v>176</v>
      </c>
      <c r="AC16" s="3" t="s">
        <v>181</v>
      </c>
      <c r="AD16" s="5" t="str">
        <f>IF(A16="","",IF(OR(AK16&lt;&gt;"Qualificado",Y16&lt;&gt;"Verificado",U16="",Z16="",AA16=""),"Pendente",IF(AND(Z16&gt;=7,AA16&gt;=6),"Alta",IF(AND(Z16&gt;=5,AA16&gt;=4),"Média","Baixa"))))</f>
        <v>Pendente</v>
      </c>
      <c r="AE16" s="3" t="s">
        <v>182</v>
      </c>
      <c r="AF16" s="3" t="s">
        <v>175</v>
      </c>
      <c r="AG16" s="3" t="s">
        <v>137</v>
      </c>
      <c r="AH16" s="4" t="s">
        <v>180</v>
      </c>
      <c r="AI16" s="3" t="s">
        <v>160</v>
      </c>
      <c r="AJ16" s="3" t="s">
        <v>136</v>
      </c>
      <c r="AK16" s="3" t="s">
        <v>65</v>
      </c>
      <c r="AL16" s="3" t="s">
        <v>172</v>
      </c>
    </row>
    <row r="17" spans="1:38" ht="88" customHeight="1">
      <c r="A17" s="3" t="s">
        <v>183</v>
      </c>
      <c r="B17" s="3" t="s">
        <v>184</v>
      </c>
      <c r="C17" s="3" t="s">
        <v>185</v>
      </c>
      <c r="D17" s="3"/>
      <c r="E17" s="3"/>
      <c r="F17" s="4" t="s">
        <v>186</v>
      </c>
      <c r="G17" s="3" t="s">
        <v>55</v>
      </c>
      <c r="H17" s="3" t="s">
        <v>0</v>
      </c>
      <c r="I17" s="3" t="s">
        <v>187</v>
      </c>
      <c r="J17" s="3"/>
      <c r="K17" s="3"/>
      <c r="L17" s="3" t="s">
        <v>188</v>
      </c>
      <c r="M17" s="3" t="s">
        <v>58</v>
      </c>
      <c r="N17" s="3"/>
      <c r="O17" s="3"/>
      <c r="P17" s="3"/>
      <c r="Q17" s="3"/>
      <c r="R17" s="3" t="s">
        <v>189</v>
      </c>
      <c r="S17" s="5" t="str">
        <f>IF(A17="","",IF(H17="Fechado","Fechado",IF(H17="Perdido","Perdido",IF(K17="","Sem data",IF(K17&lt;TODAY(),"Atrasado",IF(K17=TODAY(),"Hoje","Agendado")))))))</f>
        <v>Sem data</v>
      </c>
      <c r="T17" s="3"/>
      <c r="U17" s="3"/>
      <c r="V17" s="3"/>
      <c r="W17" s="3"/>
      <c r="X17" s="1">
        <v>46302</v>
      </c>
      <c r="Y17" s="3" t="s">
        <v>65</v>
      </c>
      <c r="AB17" s="3" t="s">
        <v>187</v>
      </c>
      <c r="AC17" s="3" t="s">
        <v>190</v>
      </c>
      <c r="AD17" s="5" t="str">
        <f>IF(A17="","",IF(OR(AK17&lt;&gt;"Qualificado",Y17&lt;&gt;"Verificado",U17="",Z17="",AA17=""),"Pendente",IF(AND(Z17&gt;=7,AA17&gt;=6),"Alta",IF(AND(Z17&gt;=5,AA17&gt;=4),"Média","Baixa"))))</f>
        <v>Pendente</v>
      </c>
      <c r="AE17" s="3" t="s">
        <v>191</v>
      </c>
      <c r="AF17" s="3" t="s">
        <v>185</v>
      </c>
      <c r="AG17" s="3" t="s">
        <v>171</v>
      </c>
      <c r="AH17" s="4" t="s">
        <v>192</v>
      </c>
      <c r="AI17" s="3" t="s">
        <v>160</v>
      </c>
      <c r="AJ17" s="3" t="s">
        <v>193</v>
      </c>
      <c r="AK17" s="3" t="s">
        <v>65</v>
      </c>
      <c r="AL17" s="3" t="s">
        <v>194</v>
      </c>
    </row>
    <row r="18" spans="1:38">
      <c r="S18" s="5">
        <f>IF(A18="","",IF(H18="Fechado","Fechado",IF(H18="Perdido","Perdido",IF(K18="","Sem data",IF(K18&lt;TODAY(),"Atrasado",IF(K18=TODAY(),"Hoje","Agendado")))))))</f>
        <v/>
      </c>
      <c r="AD18" s="5">
        <f>IF(A18="","",IF(OR(AK18&lt;&gt;"Qualificado",Y18&lt;&gt;"Verificado",U18="",Z18="",AA18=""),"Pendente",IF(AND(Z18&gt;=7,AA18&gt;=6),"Alta",IF(AND(Z18&gt;=5,AA18&gt;=4),"Média","Baixa"))))</f>
        <v/>
      </c>
    </row>
    <row r="19" spans="1:38">
      <c r="S19" s="5">
        <f>IF(A19="","",IF(H19="Fechado","Fechado",IF(H19="Perdido","Perdido",IF(K19="","Sem data",IF(K19&lt;TODAY(),"Atrasado",IF(K19=TODAY(),"Hoje","Agendado")))))))</f>
        <v/>
      </c>
      <c r="AD19" s="5">
        <f>IF(A19="","",IF(OR(AK19&lt;&gt;"Qualificado",Y19&lt;&gt;"Verificado",U19="",Z19="",AA19=""),"Pendente",IF(AND(Z19&gt;=7,AA19&gt;=6),"Alta",IF(AND(Z19&gt;=5,AA19&gt;=4),"Média","Baixa"))))</f>
        <v/>
      </c>
    </row>
    <row r="20" spans="1:38">
      <c r="S20" s="5">
        <f>IF(A20="","",IF(H20="Fechado","Fechado",IF(H20="Perdido","Perdido",IF(K20="","Sem data",IF(K20&lt;TODAY(),"Atrasado",IF(K20=TODAY(),"Hoje","Agendado")))))))</f>
        <v/>
      </c>
      <c r="AD20" s="5">
        <f>IF(A20="","",IF(OR(AK20&lt;&gt;"Qualificado",Y20&lt;&gt;"Verificado",U20="",Z20="",AA20=""),"Pendente",IF(AND(Z20&gt;=7,AA20&gt;=6),"Alta",IF(AND(Z20&gt;=5,AA20&gt;=4),"Média","Baixa"))))</f>
        <v/>
      </c>
    </row>
    <row r="21" spans="1:38">
      <c r="S21" s="5">
        <f>IF(A21="","",IF(H21="Fechado","Fechado",IF(H21="Perdido","Perdido",IF(K21="","Sem data",IF(K21&lt;TODAY(),"Atrasado",IF(K21=TODAY(),"Hoje","Agendado")))))))</f>
        <v/>
      </c>
      <c r="AD21" s="5">
        <f>IF(A21="","",IF(OR(AK21&lt;&gt;"Qualificado",Y21&lt;&gt;"Verificado",U21="",Z21="",AA21=""),"Pendente",IF(AND(Z21&gt;=7,AA21&gt;=6),"Alta",IF(AND(Z21&gt;=5,AA21&gt;=4),"Média","Baixa"))))</f>
        <v/>
      </c>
    </row>
    <row r="22" spans="1:38">
      <c r="S22" s="5">
        <f>IF(A22="","",IF(H22="Fechado","Fechado",IF(H22="Perdido","Perdido",IF(K22="","Sem data",IF(K22&lt;TODAY(),"Atrasado",IF(K22=TODAY(),"Hoje","Agendado")))))))</f>
        <v/>
      </c>
      <c r="AD22" s="5">
        <f>IF(A22="","",IF(OR(AK22&lt;&gt;"Qualificado",Y22&lt;&gt;"Verificado",U22="",Z22="",AA22=""),"Pendente",IF(AND(Z22&gt;=7,AA22&gt;=6),"Alta",IF(AND(Z22&gt;=5,AA22&gt;=4),"Média","Baixa"))))</f>
        <v/>
      </c>
    </row>
    <row r="23" spans="1:38">
      <c r="S23" s="5">
        <f>IF(A23="","",IF(H23="Fechado","Fechado",IF(H23="Perdido","Perdido",IF(K23="","Sem data",IF(K23&lt;TODAY(),"Atrasado",IF(K23=TODAY(),"Hoje","Agendado")))))))</f>
        <v/>
      </c>
      <c r="AD23" s="5">
        <f>IF(A23="","",IF(OR(AK23&lt;&gt;"Qualificado",Y23&lt;&gt;"Verificado",U23="",Z23="",AA23=""),"Pendente",IF(AND(Z23&gt;=7,AA23&gt;=6),"Alta",IF(AND(Z23&gt;=5,AA23&gt;=4),"Média","Baixa"))))</f>
        <v/>
      </c>
    </row>
    <row r="24" spans="1:38">
      <c r="S24" s="5">
        <f>IF(A24="","",IF(H24="Fechado","Fechado",IF(H24="Perdido","Perdido",IF(K24="","Sem data",IF(K24&lt;TODAY(),"Atrasado",IF(K24=TODAY(),"Hoje","Agendado")))))))</f>
        <v/>
      </c>
      <c r="AD24" s="5">
        <f>IF(A24="","",IF(OR(AK24&lt;&gt;"Qualificado",Y24&lt;&gt;"Verificado",U24="",Z24="",AA24=""),"Pendente",IF(AND(Z24&gt;=7,AA24&gt;=6),"Alta",IF(AND(Z24&gt;=5,AA24&gt;=4),"Média","Baixa"))))</f>
        <v/>
      </c>
    </row>
    <row r="25" spans="1:38">
      <c r="S25" s="5">
        <f>IF(A25="","",IF(H25="Fechado","Fechado",IF(H25="Perdido","Perdido",IF(K25="","Sem data",IF(K25&lt;TODAY(),"Atrasado",IF(K25=TODAY(),"Hoje","Agendado")))))))</f>
        <v/>
      </c>
      <c r="AD25" s="5">
        <f>IF(A25="","",IF(OR(AK25&lt;&gt;"Qualificado",Y25&lt;&gt;"Verificado",U25="",Z25="",AA25=""),"Pendente",IF(AND(Z25&gt;=7,AA25&gt;=6),"Alta",IF(AND(Z25&gt;=5,AA25&gt;=4),"Média","Baixa"))))</f>
        <v/>
      </c>
    </row>
    <row r="26" spans="1:38">
      <c r="S26" s="5">
        <f>IF(A26="","",IF(H26="Fechado","Fechado",IF(H26="Perdido","Perdido",IF(K26="","Sem data",IF(K26&lt;TODAY(),"Atrasado",IF(K26=TODAY(),"Hoje","Agendado")))))))</f>
        <v/>
      </c>
      <c r="AD26" s="5">
        <f>IF(A26="","",IF(OR(AK26&lt;&gt;"Qualificado",Y26&lt;&gt;"Verificado",U26="",Z26="",AA26=""),"Pendente",IF(AND(Z26&gt;=7,AA26&gt;=6),"Alta",IF(AND(Z26&gt;=5,AA26&gt;=4),"Média","Baixa"))))</f>
        <v/>
      </c>
    </row>
    <row r="27" spans="1:38">
      <c r="S27" s="5">
        <f>IF(A27="","",IF(H27="Fechado","Fechado",IF(H27="Perdido","Perdido",IF(K27="","Sem data",IF(K27&lt;TODAY(),"Atrasado",IF(K27=TODAY(),"Hoje","Agendado")))))))</f>
        <v/>
      </c>
      <c r="AD27" s="5">
        <f>IF(A27="","",IF(OR(AK27&lt;&gt;"Qualificado",Y27&lt;&gt;"Verificado",U27="",Z27="",AA27=""),"Pendente",IF(AND(Z27&gt;=7,AA27&gt;=6),"Alta",IF(AND(Z27&gt;=5,AA27&gt;=4),"Média","Baixa"))))</f>
        <v/>
      </c>
    </row>
    <row r="28" spans="1:38">
      <c r="S28" s="5">
        <f>IF(A28="","",IF(H28="Fechado","Fechado",IF(H28="Perdido","Perdido",IF(K28="","Sem data",IF(K28&lt;TODAY(),"Atrasado",IF(K28=TODAY(),"Hoje","Agendado")))))))</f>
        <v/>
      </c>
      <c r="AD28" s="5">
        <f>IF(A28="","",IF(OR(AK28&lt;&gt;"Qualificado",Y28&lt;&gt;"Verificado",U28="",Z28="",AA28=""),"Pendente",IF(AND(Z28&gt;=7,AA28&gt;=6),"Alta",IF(AND(Z28&gt;=5,AA28&gt;=4),"Média","Baixa"))))</f>
        <v/>
      </c>
    </row>
    <row r="29" spans="1:38">
      <c r="S29" s="5">
        <f>IF(A29="","",IF(H29="Fechado","Fechado",IF(H29="Perdido","Perdido",IF(K29="","Sem data",IF(K29&lt;TODAY(),"Atrasado",IF(K29=TODAY(),"Hoje","Agendado")))))))</f>
        <v/>
      </c>
      <c r="AD29" s="5">
        <f>IF(A29="","",IF(OR(AK29&lt;&gt;"Qualificado",Y29&lt;&gt;"Verificado",U29="",Z29="",AA29=""),"Pendente",IF(AND(Z29&gt;=7,AA29&gt;=6),"Alta",IF(AND(Z29&gt;=5,AA29&gt;=4),"Média","Baixa"))))</f>
        <v/>
      </c>
    </row>
    <row r="30" spans="1:38">
      <c r="S30" s="5">
        <f>IF(A30="","",IF(H30="Fechado","Fechado",IF(H30="Perdido","Perdido",IF(K30="","Sem data",IF(K30&lt;TODAY(),"Atrasado",IF(K30=TODAY(),"Hoje","Agendado")))))))</f>
        <v/>
      </c>
      <c r="AD30" s="5">
        <f>IF(A30="","",IF(OR(AK30&lt;&gt;"Qualificado",Y30&lt;&gt;"Verificado",U30="",Z30="",AA30=""),"Pendente",IF(AND(Z30&gt;=7,AA30&gt;=6),"Alta",IF(AND(Z30&gt;=5,AA30&gt;=4),"Média","Baixa"))))</f>
        <v/>
      </c>
    </row>
    <row r="31" spans="1:38">
      <c r="S31" s="5">
        <f>IF(A31="","",IF(H31="Fechado","Fechado",IF(H31="Perdido","Perdido",IF(K31="","Sem data",IF(K31&lt;TODAY(),"Atrasado",IF(K31=TODAY(),"Hoje","Agendado")))))))</f>
        <v/>
      </c>
      <c r="AD31" s="5">
        <f>IF(A31="","",IF(OR(AK31&lt;&gt;"Qualificado",Y31&lt;&gt;"Verificado",U31="",Z31="",AA31=""),"Pendente",IF(AND(Z31&gt;=7,AA31&gt;=6),"Alta",IF(AND(Z31&gt;=5,AA31&gt;=4),"Média","Baixa"))))</f>
        <v/>
      </c>
    </row>
    <row r="32" spans="1:38">
      <c r="S32" s="5">
        <f>IF(A32="","",IF(H32="Fechado","Fechado",IF(H32="Perdido","Perdido",IF(K32="","Sem data",IF(K32&lt;TODAY(),"Atrasado",IF(K32=TODAY(),"Hoje","Agendado")))))))</f>
        <v/>
      </c>
      <c r="AD32" s="5">
        <f>IF(A32="","",IF(OR(AK32&lt;&gt;"Qualificado",Y32&lt;&gt;"Verificado",U32="",Z32="",AA32=""),"Pendente",IF(AND(Z32&gt;=7,AA32&gt;=6),"Alta",IF(AND(Z32&gt;=5,AA32&gt;=4),"Média","Baixa"))))</f>
        <v/>
      </c>
    </row>
    <row r="33" spans="19:30">
      <c r="S33" s="5">
        <f>IF(A33="","",IF(H33="Fechado","Fechado",IF(H33="Perdido","Perdido",IF(K33="","Sem data",IF(K33&lt;TODAY(),"Atrasado",IF(K33=TODAY(),"Hoje","Agendado")))))))</f>
        <v/>
      </c>
      <c r="AD33" s="5">
        <f>IF(A33="","",IF(OR(AK33&lt;&gt;"Qualificado",Y33&lt;&gt;"Verificado",U33="",Z33="",AA33=""),"Pendente",IF(AND(Z33&gt;=7,AA33&gt;=6),"Alta",IF(AND(Z33&gt;=5,AA33&gt;=4),"Média","Baixa"))))</f>
        <v/>
      </c>
    </row>
    <row r="34" spans="19:30">
      <c r="S34" s="5">
        <f>IF(A34="","",IF(H34="Fechado","Fechado",IF(H34="Perdido","Perdido",IF(K34="","Sem data",IF(K34&lt;TODAY(),"Atrasado",IF(K34=TODAY(),"Hoje","Agendado")))))))</f>
        <v/>
      </c>
      <c r="AD34" s="5">
        <f>IF(A34="","",IF(OR(AK34&lt;&gt;"Qualificado",Y34&lt;&gt;"Verificado",U34="",Z34="",AA34=""),"Pendente",IF(AND(Z34&gt;=7,AA34&gt;=6),"Alta",IF(AND(Z34&gt;=5,AA34&gt;=4),"Média","Baixa"))))</f>
        <v/>
      </c>
    </row>
    <row r="35" spans="19:30">
      <c r="S35" s="5">
        <f>IF(A35="","",IF(H35="Fechado","Fechado",IF(H35="Perdido","Perdido",IF(K35="","Sem data",IF(K35&lt;TODAY(),"Atrasado",IF(K35=TODAY(),"Hoje","Agendado")))))))</f>
        <v/>
      </c>
      <c r="AD35" s="5">
        <f>IF(A35="","",IF(OR(AK35&lt;&gt;"Qualificado",Y35&lt;&gt;"Verificado",U35="",Z35="",AA35=""),"Pendente",IF(AND(Z35&gt;=7,AA35&gt;=6),"Alta",IF(AND(Z35&gt;=5,AA35&gt;=4),"Média","Baixa"))))</f>
        <v/>
      </c>
    </row>
    <row r="36" spans="19:30">
      <c r="S36" s="5">
        <f>IF(A36="","",IF(H36="Fechado","Fechado",IF(H36="Perdido","Perdido",IF(K36="","Sem data",IF(K36&lt;TODAY(),"Atrasado",IF(K36=TODAY(),"Hoje","Agendado")))))))</f>
        <v/>
      </c>
      <c r="AD36" s="5">
        <f>IF(A36="","",IF(OR(AK36&lt;&gt;"Qualificado",Y36&lt;&gt;"Verificado",U36="",Z36="",AA36=""),"Pendente",IF(AND(Z36&gt;=7,AA36&gt;=6),"Alta",IF(AND(Z36&gt;=5,AA36&gt;=4),"Média","Baixa"))))</f>
        <v/>
      </c>
    </row>
    <row r="37" spans="19:30">
      <c r="S37" s="5">
        <f>IF(A37="","",IF(H37="Fechado","Fechado",IF(H37="Perdido","Perdido",IF(K37="","Sem data",IF(K37&lt;TODAY(),"Atrasado",IF(K37=TODAY(),"Hoje","Agendado")))))))</f>
        <v/>
      </c>
      <c r="AD37" s="5">
        <f>IF(A37="","",IF(OR(AK37&lt;&gt;"Qualificado",Y37&lt;&gt;"Verificado",U37="",Z37="",AA37=""),"Pendente",IF(AND(Z37&gt;=7,AA37&gt;=6),"Alta",IF(AND(Z37&gt;=5,AA37&gt;=4),"Média","Baixa"))))</f>
        <v/>
      </c>
    </row>
    <row r="38" spans="19:30">
      <c r="S38" s="5">
        <f>IF(A38="","",IF(H38="Fechado","Fechado",IF(H38="Perdido","Perdido",IF(K38="","Sem data",IF(K38&lt;TODAY(),"Atrasado",IF(K38=TODAY(),"Hoje","Agendado")))))))</f>
        <v/>
      </c>
      <c r="AD38" s="5">
        <f>IF(A38="","",IF(OR(AK38&lt;&gt;"Qualificado",Y38&lt;&gt;"Verificado",U38="",Z38="",AA38=""),"Pendente",IF(AND(Z38&gt;=7,AA38&gt;=6),"Alta",IF(AND(Z38&gt;=5,AA38&gt;=4),"Média","Baixa"))))</f>
        <v/>
      </c>
    </row>
    <row r="39" spans="19:30">
      <c r="S39" s="5">
        <f>IF(A39="","",IF(H39="Fechado","Fechado",IF(H39="Perdido","Perdido",IF(K39="","Sem data",IF(K39&lt;TODAY(),"Atrasado",IF(K39=TODAY(),"Hoje","Agendado")))))))</f>
        <v/>
      </c>
      <c r="AD39" s="5">
        <f>IF(A39="","",IF(OR(AK39&lt;&gt;"Qualificado",Y39&lt;&gt;"Verificado",U39="",Z39="",AA39=""),"Pendente",IF(AND(Z39&gt;=7,AA39&gt;=6),"Alta",IF(AND(Z39&gt;=5,AA39&gt;=4),"Média","Baixa"))))</f>
        <v/>
      </c>
    </row>
    <row r="40" spans="19:30">
      <c r="S40" s="5">
        <f>IF(A40="","",IF(H40="Fechado","Fechado",IF(H40="Perdido","Perdido",IF(K40="","Sem data",IF(K40&lt;TODAY(),"Atrasado",IF(K40=TODAY(),"Hoje","Agendado")))))))</f>
        <v/>
      </c>
      <c r="AD40" s="5">
        <f>IF(A40="","",IF(OR(AK40&lt;&gt;"Qualificado",Y40&lt;&gt;"Verificado",U40="",Z40="",AA40=""),"Pendente",IF(AND(Z40&gt;=7,AA40&gt;=6),"Alta",IF(AND(Z40&gt;=5,AA40&gt;=4),"Média","Baixa"))))</f>
        <v/>
      </c>
    </row>
    <row r="41" spans="19:30">
      <c r="S41" s="5">
        <f>IF(A41="","",IF(H41="Fechado","Fechado",IF(H41="Perdido","Perdido",IF(K41="","Sem data",IF(K41&lt;TODAY(),"Atrasado",IF(K41=TODAY(),"Hoje","Agendado")))))))</f>
        <v/>
      </c>
      <c r="AD41" s="5">
        <f>IF(A41="","",IF(OR(AK41&lt;&gt;"Qualificado",Y41&lt;&gt;"Verificado",U41="",Z41="",AA41=""),"Pendente",IF(AND(Z41&gt;=7,AA41&gt;=6),"Alta",IF(AND(Z41&gt;=5,AA41&gt;=4),"Média","Baixa"))))</f>
        <v/>
      </c>
    </row>
    <row r="42" spans="19:30">
      <c r="S42" s="5">
        <f>IF(A42="","",IF(H42="Fechado","Fechado",IF(H42="Perdido","Perdido",IF(K42="","Sem data",IF(K42&lt;TODAY(),"Atrasado",IF(K42=TODAY(),"Hoje","Agendado")))))))</f>
        <v/>
      </c>
      <c r="AD42" s="5">
        <f>IF(A42="","",IF(OR(AK42&lt;&gt;"Qualificado",Y42&lt;&gt;"Verificado",U42="",Z42="",AA42=""),"Pendente",IF(AND(Z42&gt;=7,AA42&gt;=6),"Alta",IF(AND(Z42&gt;=5,AA42&gt;=4),"Média","Baixa"))))</f>
        <v/>
      </c>
    </row>
    <row r="43" spans="19:30">
      <c r="S43" s="5">
        <f>IF(A43="","",IF(H43="Fechado","Fechado",IF(H43="Perdido","Perdido",IF(K43="","Sem data",IF(K43&lt;TODAY(),"Atrasado",IF(K43=TODAY(),"Hoje","Agendado")))))))</f>
        <v/>
      </c>
      <c r="AD43" s="5">
        <f>IF(A43="","",IF(OR(AK43&lt;&gt;"Qualificado",Y43&lt;&gt;"Verificado",U43="",Z43="",AA43=""),"Pendente",IF(AND(Z43&gt;=7,AA43&gt;=6),"Alta",IF(AND(Z43&gt;=5,AA43&gt;=4),"Média","Baixa"))))</f>
        <v/>
      </c>
    </row>
    <row r="44" spans="19:30">
      <c r="S44" s="5">
        <f>IF(A44="","",IF(H44="Fechado","Fechado",IF(H44="Perdido","Perdido",IF(K44="","Sem data",IF(K44&lt;TODAY(),"Atrasado",IF(K44=TODAY(),"Hoje","Agendado")))))))</f>
        <v/>
      </c>
      <c r="AD44" s="5">
        <f>IF(A44="","",IF(OR(AK44&lt;&gt;"Qualificado",Y44&lt;&gt;"Verificado",U44="",Z44="",AA44=""),"Pendente",IF(AND(Z44&gt;=7,AA44&gt;=6),"Alta",IF(AND(Z44&gt;=5,AA44&gt;=4),"Média","Baixa"))))</f>
        <v/>
      </c>
    </row>
    <row r="45" spans="19:30">
      <c r="S45" s="5">
        <f>IF(A45="","",IF(H45="Fechado","Fechado",IF(H45="Perdido","Perdido",IF(K45="","Sem data",IF(K45&lt;TODAY(),"Atrasado",IF(K45=TODAY(),"Hoje","Agendado")))))))</f>
        <v/>
      </c>
      <c r="AD45" s="5">
        <f>IF(A45="","",IF(OR(AK45&lt;&gt;"Qualificado",Y45&lt;&gt;"Verificado",U45="",Z45="",AA45=""),"Pendente",IF(AND(Z45&gt;=7,AA45&gt;=6),"Alta",IF(AND(Z45&gt;=5,AA45&gt;=4),"Média","Baixa"))))</f>
        <v/>
      </c>
    </row>
    <row r="46" spans="19:30">
      <c r="S46" s="5">
        <f>IF(A46="","",IF(H46="Fechado","Fechado",IF(H46="Perdido","Perdido",IF(K46="","Sem data",IF(K46&lt;TODAY(),"Atrasado",IF(K46=TODAY(),"Hoje","Agendado")))))))</f>
        <v/>
      </c>
      <c r="AD46" s="5">
        <f>IF(A46="","",IF(OR(AK46&lt;&gt;"Qualificado",Y46&lt;&gt;"Verificado",U46="",Z46="",AA46=""),"Pendente",IF(AND(Z46&gt;=7,AA46&gt;=6),"Alta",IF(AND(Z46&gt;=5,AA46&gt;=4),"Média","Baixa"))))</f>
        <v/>
      </c>
    </row>
    <row r="47" spans="19:30">
      <c r="S47" s="5">
        <f>IF(A47="","",IF(H47="Fechado","Fechado",IF(H47="Perdido","Perdido",IF(K47="","Sem data",IF(K47&lt;TODAY(),"Atrasado",IF(K47=TODAY(),"Hoje","Agendado")))))))</f>
        <v/>
      </c>
      <c r="AD47" s="5">
        <f>IF(A47="","",IF(OR(AK47&lt;&gt;"Qualificado",Y47&lt;&gt;"Verificado",U47="",Z47="",AA47=""),"Pendente",IF(AND(Z47&gt;=7,AA47&gt;=6),"Alta",IF(AND(Z47&gt;=5,AA47&gt;=4),"Média","Baixa"))))</f>
        <v/>
      </c>
    </row>
    <row r="48" spans="19:30">
      <c r="S48" s="5">
        <f>IF(A48="","",IF(H48="Fechado","Fechado",IF(H48="Perdido","Perdido",IF(K48="","Sem data",IF(K48&lt;TODAY(),"Atrasado",IF(K48=TODAY(),"Hoje","Agendado")))))))</f>
        <v/>
      </c>
      <c r="AD48" s="5">
        <f>IF(A48="","",IF(OR(AK48&lt;&gt;"Qualificado",Y48&lt;&gt;"Verificado",U48="",Z48="",AA48=""),"Pendente",IF(AND(Z48&gt;=7,AA48&gt;=6),"Alta",IF(AND(Z48&gt;=5,AA48&gt;=4),"Média","Baixa"))))</f>
        <v/>
      </c>
    </row>
    <row r="49" spans="19:30">
      <c r="S49" s="5">
        <f>IF(A49="","",IF(H49="Fechado","Fechado",IF(H49="Perdido","Perdido",IF(K49="","Sem data",IF(K49&lt;TODAY(),"Atrasado",IF(K49=TODAY(),"Hoje","Agendado")))))))</f>
        <v/>
      </c>
      <c r="AD49" s="5">
        <f>IF(A49="","",IF(OR(AK49&lt;&gt;"Qualificado",Y49&lt;&gt;"Verificado",U49="",Z49="",AA49=""),"Pendente",IF(AND(Z49&gt;=7,AA49&gt;=6),"Alta",IF(AND(Z49&gt;=5,AA49&gt;=4),"Média","Baixa"))))</f>
        <v/>
      </c>
    </row>
    <row r="50" spans="19:30">
      <c r="S50" s="5">
        <f>IF(A50="","",IF(H50="Fechado","Fechado",IF(H50="Perdido","Perdido",IF(K50="","Sem data",IF(K50&lt;TODAY(),"Atrasado",IF(K50=TODAY(),"Hoje","Agendado")))))))</f>
        <v/>
      </c>
      <c r="AD50" s="5">
        <f>IF(A50="","",IF(OR(AK50&lt;&gt;"Qualificado",Y50&lt;&gt;"Verificado",U50="",Z50="",AA50=""),"Pendente",IF(AND(Z50&gt;=7,AA50&gt;=6),"Alta",IF(AND(Z50&gt;=5,AA50&gt;=4),"Média","Baixa"))))</f>
        <v/>
      </c>
    </row>
    <row r="51" spans="19:30">
      <c r="S51" s="5">
        <f>IF(A51="","",IF(H51="Fechado","Fechado",IF(H51="Perdido","Perdido",IF(K51="","Sem data",IF(K51&lt;TODAY(),"Atrasado",IF(K51=TODAY(),"Hoje","Agendado")))))))</f>
        <v/>
      </c>
      <c r="AD51" s="5">
        <f>IF(A51="","",IF(OR(AK51&lt;&gt;"Qualificado",Y51&lt;&gt;"Verificado",U51="",Z51="",AA51=""),"Pendente",IF(AND(Z51&gt;=7,AA51&gt;=6),"Alta",IF(AND(Z51&gt;=5,AA51&gt;=4),"Média","Baixa"))))</f>
        <v/>
      </c>
    </row>
    <row r="52" spans="19:30">
      <c r="S52" s="5">
        <f>IF(A52="","",IF(H52="Fechado","Fechado",IF(H52="Perdido","Perdido",IF(K52="","Sem data",IF(K52&lt;TODAY(),"Atrasado",IF(K52=TODAY(),"Hoje","Agendado")))))))</f>
        <v/>
      </c>
      <c r="AD52" s="5">
        <f>IF(A52="","",IF(OR(AK52&lt;&gt;"Qualificado",Y52&lt;&gt;"Verificado",U52="",Z52="",AA52=""),"Pendente",IF(AND(Z52&gt;=7,AA52&gt;=6),"Alta",IF(AND(Z52&gt;=5,AA52&gt;=4),"Média","Baixa"))))</f>
        <v/>
      </c>
    </row>
    <row r="53" spans="19:30">
      <c r="S53" s="5">
        <f>IF(A53="","",IF(H53="Fechado","Fechado",IF(H53="Perdido","Perdido",IF(K53="","Sem data",IF(K53&lt;TODAY(),"Atrasado",IF(K53=TODAY(),"Hoje","Agendado")))))))</f>
        <v/>
      </c>
      <c r="AD53" s="5">
        <f>IF(A53="","",IF(OR(AK53&lt;&gt;"Qualificado",Y53&lt;&gt;"Verificado",U53="",Z53="",AA53=""),"Pendente",IF(AND(Z53&gt;=7,AA53&gt;=6),"Alta",IF(AND(Z53&gt;=5,AA53&gt;=4),"Média","Baixa"))))</f>
        <v/>
      </c>
    </row>
    <row r="54" spans="19:30">
      <c r="S54" s="5">
        <f>IF(A54="","",IF(H54="Fechado","Fechado",IF(H54="Perdido","Perdido",IF(K54="","Sem data",IF(K54&lt;TODAY(),"Atrasado",IF(K54=TODAY(),"Hoje","Agendado")))))))</f>
        <v/>
      </c>
      <c r="AD54" s="5">
        <f>IF(A54="","",IF(OR(AK54&lt;&gt;"Qualificado",Y54&lt;&gt;"Verificado",U54="",Z54="",AA54=""),"Pendente",IF(AND(Z54&gt;=7,AA54&gt;=6),"Alta",IF(AND(Z54&gt;=5,AA54&gt;=4),"Média","Baixa"))))</f>
        <v/>
      </c>
    </row>
    <row r="55" spans="19:30">
      <c r="S55" s="5">
        <f>IF(A55="","",IF(H55="Fechado","Fechado",IF(H55="Perdido","Perdido",IF(K55="","Sem data",IF(K55&lt;TODAY(),"Atrasado",IF(K55=TODAY(),"Hoje","Agendado")))))))</f>
        <v/>
      </c>
      <c r="AD55" s="5">
        <f>IF(A55="","",IF(OR(AK55&lt;&gt;"Qualificado",Y55&lt;&gt;"Verificado",U55="",Z55="",AA55=""),"Pendente",IF(AND(Z55&gt;=7,AA55&gt;=6),"Alta",IF(AND(Z55&gt;=5,AA55&gt;=4),"Média","Baixa"))))</f>
        <v/>
      </c>
    </row>
    <row r="56" spans="19:30">
      <c r="S56" s="5">
        <f>IF(A56="","",IF(H56="Fechado","Fechado",IF(H56="Perdido","Perdido",IF(K56="","Sem data",IF(K56&lt;TODAY(),"Atrasado",IF(K56=TODAY(),"Hoje","Agendado")))))))</f>
        <v/>
      </c>
      <c r="AD56" s="5">
        <f>IF(A56="","",IF(OR(AK56&lt;&gt;"Qualificado",Y56&lt;&gt;"Verificado",U56="",Z56="",AA56=""),"Pendente",IF(AND(Z56&gt;=7,AA56&gt;=6),"Alta",IF(AND(Z56&gt;=5,AA56&gt;=4),"Média","Baixa"))))</f>
        <v/>
      </c>
    </row>
    <row r="57" spans="19:30">
      <c r="S57" s="5">
        <f>IF(A57="","",IF(H57="Fechado","Fechado",IF(H57="Perdido","Perdido",IF(K57="","Sem data",IF(K57&lt;TODAY(),"Atrasado",IF(K57=TODAY(),"Hoje","Agendado")))))))</f>
        <v/>
      </c>
      <c r="AD57" s="5">
        <f>IF(A57="","",IF(OR(AK57&lt;&gt;"Qualificado",Y57&lt;&gt;"Verificado",U57="",Z57="",AA57=""),"Pendente",IF(AND(Z57&gt;=7,AA57&gt;=6),"Alta",IF(AND(Z57&gt;=5,AA57&gt;=4),"Média","Baixa"))))</f>
        <v/>
      </c>
    </row>
    <row r="58" spans="19:30">
      <c r="S58" s="5">
        <f>IF(A58="","",IF(H58="Fechado","Fechado",IF(H58="Perdido","Perdido",IF(K58="","Sem data",IF(K58&lt;TODAY(),"Atrasado",IF(K58=TODAY(),"Hoje","Agendado")))))))</f>
        <v/>
      </c>
      <c r="AD58" s="5">
        <f>IF(A58="","",IF(OR(AK58&lt;&gt;"Qualificado",Y58&lt;&gt;"Verificado",U58="",Z58="",AA58=""),"Pendente",IF(AND(Z58&gt;=7,AA58&gt;=6),"Alta",IF(AND(Z58&gt;=5,AA58&gt;=4),"Média","Baixa"))))</f>
        <v/>
      </c>
    </row>
    <row r="59" spans="19:30">
      <c r="S59" s="5">
        <f>IF(A59="","",IF(H59="Fechado","Fechado",IF(H59="Perdido","Perdido",IF(K59="","Sem data",IF(K59&lt;TODAY(),"Atrasado",IF(K59=TODAY(),"Hoje","Agendado")))))))</f>
        <v/>
      </c>
      <c r="AD59" s="5">
        <f>IF(A59="","",IF(OR(AK59&lt;&gt;"Qualificado",Y59&lt;&gt;"Verificado",U59="",Z59="",AA59=""),"Pendente",IF(AND(Z59&gt;=7,AA59&gt;=6),"Alta",IF(AND(Z59&gt;=5,AA59&gt;=4),"Média","Baixa"))))</f>
        <v/>
      </c>
    </row>
    <row r="60" spans="19:30">
      <c r="S60" s="5">
        <f>IF(A60="","",IF(H60="Fechado","Fechado",IF(H60="Perdido","Perdido",IF(K60="","Sem data",IF(K60&lt;TODAY(),"Atrasado",IF(K60=TODAY(),"Hoje","Agendado")))))))</f>
        <v/>
      </c>
      <c r="AD60" s="5">
        <f>IF(A60="","",IF(OR(AK60&lt;&gt;"Qualificado",Y60&lt;&gt;"Verificado",U60="",Z60="",AA60=""),"Pendente",IF(AND(Z60&gt;=7,AA60&gt;=6),"Alta",IF(AND(Z60&gt;=5,AA60&gt;=4),"Média","Baixa"))))</f>
        <v/>
      </c>
    </row>
    <row r="61" spans="19:30">
      <c r="S61" s="5">
        <f>IF(A61="","",IF(H61="Fechado","Fechado",IF(H61="Perdido","Perdido",IF(K61="","Sem data",IF(K61&lt;TODAY(),"Atrasado",IF(K61=TODAY(),"Hoje","Agendado")))))))</f>
        <v/>
      </c>
      <c r="AD61" s="5">
        <f>IF(A61="","",IF(OR(AK61&lt;&gt;"Qualificado",Y61&lt;&gt;"Verificado",U61="",Z61="",AA61=""),"Pendente",IF(AND(Z61&gt;=7,AA61&gt;=6),"Alta",IF(AND(Z61&gt;=5,AA61&gt;=4),"Média","Baixa"))))</f>
        <v/>
      </c>
    </row>
    <row r="62" spans="19:30">
      <c r="S62" s="5">
        <f>IF(A62="","",IF(H62="Fechado","Fechado",IF(H62="Perdido","Perdido",IF(K62="","Sem data",IF(K62&lt;TODAY(),"Atrasado",IF(K62=TODAY(),"Hoje","Agendado")))))))</f>
        <v/>
      </c>
      <c r="AD62" s="5">
        <f>IF(A62="","",IF(OR(AK62&lt;&gt;"Qualificado",Y62&lt;&gt;"Verificado",U62="",Z62="",AA62=""),"Pendente",IF(AND(Z62&gt;=7,AA62&gt;=6),"Alta",IF(AND(Z62&gt;=5,AA62&gt;=4),"Média","Baixa"))))</f>
        <v/>
      </c>
    </row>
    <row r="63" spans="19:30">
      <c r="S63" s="5">
        <f>IF(A63="","",IF(H63="Fechado","Fechado",IF(H63="Perdido","Perdido",IF(K63="","Sem data",IF(K63&lt;TODAY(),"Atrasado",IF(K63=TODAY(),"Hoje","Agendado")))))))</f>
        <v/>
      </c>
      <c r="AD63" s="5">
        <f>IF(A63="","",IF(OR(AK63&lt;&gt;"Qualificado",Y63&lt;&gt;"Verificado",U63="",Z63="",AA63=""),"Pendente",IF(AND(Z63&gt;=7,AA63&gt;=6),"Alta",IF(AND(Z63&gt;=5,AA63&gt;=4),"Média","Baixa"))))</f>
        <v/>
      </c>
    </row>
    <row r="64" spans="19:30">
      <c r="S64" s="5">
        <f>IF(A64="","",IF(H64="Fechado","Fechado",IF(H64="Perdido","Perdido",IF(K64="","Sem data",IF(K64&lt;TODAY(),"Atrasado",IF(K64=TODAY(),"Hoje","Agendado")))))))</f>
        <v/>
      </c>
      <c r="AD64" s="5">
        <f>IF(A64="","",IF(OR(AK64&lt;&gt;"Qualificado",Y64&lt;&gt;"Verificado",U64="",Z64="",AA64=""),"Pendente",IF(AND(Z64&gt;=7,AA64&gt;=6),"Alta",IF(AND(Z64&gt;=5,AA64&gt;=4),"Média","Baixa"))))</f>
        <v/>
      </c>
    </row>
    <row r="65" spans="19:30">
      <c r="S65" s="5">
        <f>IF(A65="","",IF(H65="Fechado","Fechado",IF(H65="Perdido","Perdido",IF(K65="","Sem data",IF(K65&lt;TODAY(),"Atrasado",IF(K65=TODAY(),"Hoje","Agendado")))))))</f>
        <v/>
      </c>
      <c r="AD65" s="5">
        <f>IF(A65="","",IF(OR(AK65&lt;&gt;"Qualificado",Y65&lt;&gt;"Verificado",U65="",Z65="",AA65=""),"Pendente",IF(AND(Z65&gt;=7,AA65&gt;=6),"Alta",IF(AND(Z65&gt;=5,AA65&gt;=4),"Média","Baixa"))))</f>
        <v/>
      </c>
    </row>
    <row r="66" spans="19:30">
      <c r="S66" s="5">
        <f>IF(A66="","",IF(H66="Fechado","Fechado",IF(H66="Perdido","Perdido",IF(K66="","Sem data",IF(K66&lt;TODAY(),"Atrasado",IF(K66=TODAY(),"Hoje","Agendado")))))))</f>
        <v/>
      </c>
      <c r="AD66" s="5">
        <f>IF(A66="","",IF(OR(AK66&lt;&gt;"Qualificado",Y66&lt;&gt;"Verificado",U66="",Z66="",AA66=""),"Pendente",IF(AND(Z66&gt;=7,AA66&gt;=6),"Alta",IF(AND(Z66&gt;=5,AA66&gt;=4),"Média","Baixa"))))</f>
        <v/>
      </c>
    </row>
    <row r="67" spans="19:30">
      <c r="S67" s="5">
        <f>IF(A67="","",IF(H67="Fechado","Fechado",IF(H67="Perdido","Perdido",IF(K67="","Sem data",IF(K67&lt;TODAY(),"Atrasado",IF(K67=TODAY(),"Hoje","Agendado")))))))</f>
        <v/>
      </c>
      <c r="AD67" s="5">
        <f>IF(A67="","",IF(OR(AK67&lt;&gt;"Qualificado",Y67&lt;&gt;"Verificado",U67="",Z67="",AA67=""),"Pendente",IF(AND(Z67&gt;=7,AA67&gt;=6),"Alta",IF(AND(Z67&gt;=5,AA67&gt;=4),"Média","Baixa"))))</f>
        <v/>
      </c>
    </row>
    <row r="68" spans="19:30">
      <c r="S68" s="5">
        <f>IF(A68="","",IF(H68="Fechado","Fechado",IF(H68="Perdido","Perdido",IF(K68="","Sem data",IF(K68&lt;TODAY(),"Atrasado",IF(K68=TODAY(),"Hoje","Agendado")))))))</f>
        <v/>
      </c>
      <c r="AD68" s="5">
        <f>IF(A68="","",IF(OR(AK68&lt;&gt;"Qualificado",Y68&lt;&gt;"Verificado",U68="",Z68="",AA68=""),"Pendente",IF(AND(Z68&gt;=7,AA68&gt;=6),"Alta",IF(AND(Z68&gt;=5,AA68&gt;=4),"Média","Baixa"))))</f>
        <v/>
      </c>
    </row>
    <row r="69" spans="19:30">
      <c r="S69" s="5">
        <f>IF(A69="","",IF(H69="Fechado","Fechado",IF(H69="Perdido","Perdido",IF(K69="","Sem data",IF(K69&lt;TODAY(),"Atrasado",IF(K69=TODAY(),"Hoje","Agendado")))))))</f>
        <v/>
      </c>
      <c r="AD69" s="5">
        <f>IF(A69="","",IF(OR(AK69&lt;&gt;"Qualificado",Y69&lt;&gt;"Verificado",U69="",Z69="",AA69=""),"Pendente",IF(AND(Z69&gt;=7,AA69&gt;=6),"Alta",IF(AND(Z69&gt;=5,AA69&gt;=4),"Média","Baixa"))))</f>
        <v/>
      </c>
    </row>
    <row r="70" spans="19:30">
      <c r="S70" s="5">
        <f>IF(A70="","",IF(H70="Fechado","Fechado",IF(H70="Perdido","Perdido",IF(K70="","Sem data",IF(K70&lt;TODAY(),"Atrasado",IF(K70=TODAY(),"Hoje","Agendado")))))))</f>
        <v/>
      </c>
      <c r="AD70" s="5">
        <f>IF(A70="","",IF(OR(AK70&lt;&gt;"Qualificado",Y70&lt;&gt;"Verificado",U70="",Z70="",AA70=""),"Pendente",IF(AND(Z70&gt;=7,AA70&gt;=6),"Alta",IF(AND(Z70&gt;=5,AA70&gt;=4),"Média","Baixa"))))</f>
        <v/>
      </c>
    </row>
    <row r="71" spans="19:30">
      <c r="S71" s="5">
        <f>IF(A71="","",IF(H71="Fechado","Fechado",IF(H71="Perdido","Perdido",IF(K71="","Sem data",IF(K71&lt;TODAY(),"Atrasado",IF(K71=TODAY(),"Hoje","Agendado")))))))</f>
        <v/>
      </c>
      <c r="AD71" s="5">
        <f>IF(A71="","",IF(OR(AK71&lt;&gt;"Qualificado",Y71&lt;&gt;"Verificado",U71="",Z71="",AA71=""),"Pendente",IF(AND(Z71&gt;=7,AA71&gt;=6),"Alta",IF(AND(Z71&gt;=5,AA71&gt;=4),"Média","Baixa"))))</f>
        <v/>
      </c>
    </row>
    <row r="72" spans="19:30">
      <c r="S72" s="5">
        <f>IF(A72="","",IF(H72="Fechado","Fechado",IF(H72="Perdido","Perdido",IF(K72="","Sem data",IF(K72&lt;TODAY(),"Atrasado",IF(K72=TODAY(),"Hoje","Agendado")))))))</f>
        <v/>
      </c>
      <c r="AD72" s="5">
        <f>IF(A72="","",IF(OR(AK72&lt;&gt;"Qualificado",Y72&lt;&gt;"Verificado",U72="",Z72="",AA72=""),"Pendente",IF(AND(Z72&gt;=7,AA72&gt;=6),"Alta",IF(AND(Z72&gt;=5,AA72&gt;=4),"Média","Baixa"))))</f>
        <v/>
      </c>
    </row>
    <row r="73" spans="19:30">
      <c r="S73" s="5">
        <f>IF(A73="","",IF(H73="Fechado","Fechado",IF(H73="Perdido","Perdido",IF(K73="","Sem data",IF(K73&lt;TODAY(),"Atrasado",IF(K73=TODAY(),"Hoje","Agendado")))))))</f>
        <v/>
      </c>
      <c r="AD73" s="5">
        <f>IF(A73="","",IF(OR(AK73&lt;&gt;"Qualificado",Y73&lt;&gt;"Verificado",U73="",Z73="",AA73=""),"Pendente",IF(AND(Z73&gt;=7,AA73&gt;=6),"Alta",IF(AND(Z73&gt;=5,AA73&gt;=4),"Média","Baixa"))))</f>
        <v/>
      </c>
    </row>
    <row r="74" spans="19:30">
      <c r="S74" s="5">
        <f>IF(A74="","",IF(H74="Fechado","Fechado",IF(H74="Perdido","Perdido",IF(K74="","Sem data",IF(K74&lt;TODAY(),"Atrasado",IF(K74=TODAY(),"Hoje","Agendado")))))))</f>
        <v/>
      </c>
      <c r="AD74" s="5">
        <f>IF(A74="","",IF(OR(AK74&lt;&gt;"Qualificado",Y74&lt;&gt;"Verificado",U74="",Z74="",AA74=""),"Pendente",IF(AND(Z74&gt;=7,AA74&gt;=6),"Alta",IF(AND(Z74&gt;=5,AA74&gt;=4),"Média","Baixa"))))</f>
        <v/>
      </c>
    </row>
    <row r="75" spans="19:30">
      <c r="S75" s="5">
        <f>IF(A75="","",IF(H75="Fechado","Fechado",IF(H75="Perdido","Perdido",IF(K75="","Sem data",IF(K75&lt;TODAY(),"Atrasado",IF(K75=TODAY(),"Hoje","Agendado")))))))</f>
        <v/>
      </c>
      <c r="AD75" s="5">
        <f>IF(A75="","",IF(OR(AK75&lt;&gt;"Qualificado",Y75&lt;&gt;"Verificado",U75="",Z75="",AA75=""),"Pendente",IF(AND(Z75&gt;=7,AA75&gt;=6),"Alta",IF(AND(Z75&gt;=5,AA75&gt;=4),"Média","Baixa"))))</f>
        <v/>
      </c>
    </row>
    <row r="76" spans="19:30">
      <c r="S76" s="5">
        <f>IF(A76="","",IF(H76="Fechado","Fechado",IF(H76="Perdido","Perdido",IF(K76="","Sem data",IF(K76&lt;TODAY(),"Atrasado",IF(K76=TODAY(),"Hoje","Agendado")))))))</f>
        <v/>
      </c>
      <c r="AD76" s="5">
        <f>IF(A76="","",IF(OR(AK76&lt;&gt;"Qualificado",Y76&lt;&gt;"Verificado",U76="",Z76="",AA76=""),"Pendente",IF(AND(Z76&gt;=7,AA76&gt;=6),"Alta",IF(AND(Z76&gt;=5,AA76&gt;=4),"Média","Baixa"))))</f>
        <v/>
      </c>
    </row>
    <row r="77" spans="19:30">
      <c r="S77" s="5">
        <f>IF(A77="","",IF(H77="Fechado","Fechado",IF(H77="Perdido","Perdido",IF(K77="","Sem data",IF(K77&lt;TODAY(),"Atrasado",IF(K77=TODAY(),"Hoje","Agendado")))))))</f>
        <v/>
      </c>
      <c r="AD77" s="5">
        <f>IF(A77="","",IF(OR(AK77&lt;&gt;"Qualificado",Y77&lt;&gt;"Verificado",U77="",Z77="",AA77=""),"Pendente",IF(AND(Z77&gt;=7,AA77&gt;=6),"Alta",IF(AND(Z77&gt;=5,AA77&gt;=4),"Média","Baixa"))))</f>
        <v/>
      </c>
    </row>
    <row r="78" spans="19:30">
      <c r="S78" s="5">
        <f>IF(A78="","",IF(H78="Fechado","Fechado",IF(H78="Perdido","Perdido",IF(K78="","Sem data",IF(K78&lt;TODAY(),"Atrasado",IF(K78=TODAY(),"Hoje","Agendado")))))))</f>
        <v/>
      </c>
      <c r="AD78" s="5">
        <f>IF(A78="","",IF(OR(AK78&lt;&gt;"Qualificado",Y78&lt;&gt;"Verificado",U78="",Z78="",AA78=""),"Pendente",IF(AND(Z78&gt;=7,AA78&gt;=6),"Alta",IF(AND(Z78&gt;=5,AA78&gt;=4),"Média","Baixa"))))</f>
        <v/>
      </c>
    </row>
    <row r="79" spans="19:30">
      <c r="S79" s="5">
        <f>IF(A79="","",IF(H79="Fechado","Fechado",IF(H79="Perdido","Perdido",IF(K79="","Sem data",IF(K79&lt;TODAY(),"Atrasado",IF(K79=TODAY(),"Hoje","Agendado")))))))</f>
        <v/>
      </c>
      <c r="AD79" s="5">
        <f>IF(A79="","",IF(OR(AK79&lt;&gt;"Qualificado",Y79&lt;&gt;"Verificado",U79="",Z79="",AA79=""),"Pendente",IF(AND(Z79&gt;=7,AA79&gt;=6),"Alta",IF(AND(Z79&gt;=5,AA79&gt;=4),"Média","Baixa"))))</f>
        <v/>
      </c>
    </row>
    <row r="80" spans="19:30">
      <c r="S80" s="5">
        <f>IF(A80="","",IF(H80="Fechado","Fechado",IF(H80="Perdido","Perdido",IF(K80="","Sem data",IF(K80&lt;TODAY(),"Atrasado",IF(K80=TODAY(),"Hoje","Agendado")))))))</f>
        <v/>
      </c>
      <c r="AD80" s="5">
        <f>IF(A80="","",IF(OR(AK80&lt;&gt;"Qualificado",Y80&lt;&gt;"Verificado",U80="",Z80="",AA80=""),"Pendente",IF(AND(Z80&gt;=7,AA80&gt;=6),"Alta",IF(AND(Z80&gt;=5,AA80&gt;=4),"Média","Baixa"))))</f>
        <v/>
      </c>
    </row>
    <row r="81" spans="19:30">
      <c r="S81" s="5">
        <f>IF(A81="","",IF(H81="Fechado","Fechado",IF(H81="Perdido","Perdido",IF(K81="","Sem data",IF(K81&lt;TODAY(),"Atrasado",IF(K81=TODAY(),"Hoje","Agendado")))))))</f>
        <v/>
      </c>
      <c r="AD81" s="5">
        <f>IF(A81="","",IF(OR(AK81&lt;&gt;"Qualificado",Y81&lt;&gt;"Verificado",U81="",Z81="",AA81=""),"Pendente",IF(AND(Z81&gt;=7,AA81&gt;=6),"Alta",IF(AND(Z81&gt;=5,AA81&gt;=4),"Média","Baixa"))))</f>
        <v/>
      </c>
    </row>
    <row r="82" spans="19:30">
      <c r="S82" s="5">
        <f>IF(A82="","",IF(H82="Fechado","Fechado",IF(H82="Perdido","Perdido",IF(K82="","Sem data",IF(K82&lt;TODAY(),"Atrasado",IF(K82=TODAY(),"Hoje","Agendado")))))))</f>
        <v/>
      </c>
      <c r="AD82" s="5">
        <f>IF(A82="","",IF(OR(AK82&lt;&gt;"Qualificado",Y82&lt;&gt;"Verificado",U82="",Z82="",AA82=""),"Pendente",IF(AND(Z82&gt;=7,AA82&gt;=6),"Alta",IF(AND(Z82&gt;=5,AA82&gt;=4),"Média","Baixa"))))</f>
        <v/>
      </c>
    </row>
    <row r="83" spans="19:30">
      <c r="S83" s="5">
        <f>IF(A83="","",IF(H83="Fechado","Fechado",IF(H83="Perdido","Perdido",IF(K83="","Sem data",IF(K83&lt;TODAY(),"Atrasado",IF(K83=TODAY(),"Hoje","Agendado")))))))</f>
        <v/>
      </c>
      <c r="AD83" s="5">
        <f>IF(A83="","",IF(OR(AK83&lt;&gt;"Qualificado",Y83&lt;&gt;"Verificado",U83="",Z83="",AA83=""),"Pendente",IF(AND(Z83&gt;=7,AA83&gt;=6),"Alta",IF(AND(Z83&gt;=5,AA83&gt;=4),"Média","Baixa"))))</f>
        <v/>
      </c>
    </row>
    <row r="84" spans="19:30">
      <c r="S84" s="5">
        <f>IF(A84="","",IF(H84="Fechado","Fechado",IF(H84="Perdido","Perdido",IF(K84="","Sem data",IF(K84&lt;TODAY(),"Atrasado",IF(K84=TODAY(),"Hoje","Agendado")))))))</f>
        <v/>
      </c>
      <c r="AD84" s="5">
        <f>IF(A84="","",IF(OR(AK84&lt;&gt;"Qualificado",Y84&lt;&gt;"Verificado",U84="",Z84="",AA84=""),"Pendente",IF(AND(Z84&gt;=7,AA84&gt;=6),"Alta",IF(AND(Z84&gt;=5,AA84&gt;=4),"Média","Baixa"))))</f>
        <v/>
      </c>
    </row>
    <row r="85" spans="19:30">
      <c r="S85" s="5">
        <f>IF(A85="","",IF(H85="Fechado","Fechado",IF(H85="Perdido","Perdido",IF(K85="","Sem data",IF(K85&lt;TODAY(),"Atrasado",IF(K85=TODAY(),"Hoje","Agendado")))))))</f>
        <v/>
      </c>
      <c r="AD85" s="5">
        <f>IF(A85="","",IF(OR(AK85&lt;&gt;"Qualificado",Y85&lt;&gt;"Verificado",U85="",Z85="",AA85=""),"Pendente",IF(AND(Z85&gt;=7,AA85&gt;=6),"Alta",IF(AND(Z85&gt;=5,AA85&gt;=4),"Média","Baixa"))))</f>
        <v/>
      </c>
    </row>
    <row r="86" spans="19:30">
      <c r="S86" s="5">
        <f>IF(A86="","",IF(H86="Fechado","Fechado",IF(H86="Perdido","Perdido",IF(K86="","Sem data",IF(K86&lt;TODAY(),"Atrasado",IF(K86=TODAY(),"Hoje","Agendado")))))))</f>
        <v/>
      </c>
      <c r="AD86" s="5">
        <f>IF(A86="","",IF(OR(AK86&lt;&gt;"Qualificado",Y86&lt;&gt;"Verificado",U86="",Z86="",AA86=""),"Pendente",IF(AND(Z86&gt;=7,AA86&gt;=6),"Alta",IF(AND(Z86&gt;=5,AA86&gt;=4),"Média","Baixa"))))</f>
        <v/>
      </c>
    </row>
    <row r="87" spans="19:30">
      <c r="S87" s="5">
        <f>IF(A87="","",IF(H87="Fechado","Fechado",IF(H87="Perdido","Perdido",IF(K87="","Sem data",IF(K87&lt;TODAY(),"Atrasado",IF(K87=TODAY(),"Hoje","Agendado")))))))</f>
        <v/>
      </c>
      <c r="AD87" s="5">
        <f>IF(A87="","",IF(OR(AK87&lt;&gt;"Qualificado",Y87&lt;&gt;"Verificado",U87="",Z87="",AA87=""),"Pendente",IF(AND(Z87&gt;=7,AA87&gt;=6),"Alta",IF(AND(Z87&gt;=5,AA87&gt;=4),"Média","Baixa"))))</f>
        <v/>
      </c>
    </row>
    <row r="88" spans="19:30">
      <c r="S88" s="5">
        <f>IF(A88="","",IF(H88="Fechado","Fechado",IF(H88="Perdido","Perdido",IF(K88="","Sem data",IF(K88&lt;TODAY(),"Atrasado",IF(K88=TODAY(),"Hoje","Agendado")))))))</f>
        <v/>
      </c>
      <c r="AD88" s="5">
        <f>IF(A88="","",IF(OR(AK88&lt;&gt;"Qualificado",Y88&lt;&gt;"Verificado",U88="",Z88="",AA88=""),"Pendente",IF(AND(Z88&gt;=7,AA88&gt;=6),"Alta",IF(AND(Z88&gt;=5,AA88&gt;=4),"Média","Baixa"))))</f>
        <v/>
      </c>
    </row>
    <row r="89" spans="19:30">
      <c r="S89" s="5">
        <f>IF(A89="","",IF(H89="Fechado","Fechado",IF(H89="Perdido","Perdido",IF(K89="","Sem data",IF(K89&lt;TODAY(),"Atrasado",IF(K89=TODAY(),"Hoje","Agendado")))))))</f>
        <v/>
      </c>
      <c r="AD89" s="5">
        <f>IF(A89="","",IF(OR(AK89&lt;&gt;"Qualificado",Y89&lt;&gt;"Verificado",U89="",Z89="",AA89=""),"Pendente",IF(AND(Z89&gt;=7,AA89&gt;=6),"Alta",IF(AND(Z89&gt;=5,AA89&gt;=4),"Média","Baixa"))))</f>
        <v/>
      </c>
    </row>
    <row r="90" spans="19:30">
      <c r="S90" s="5">
        <f>IF(A90="","",IF(H90="Fechado","Fechado",IF(H90="Perdido","Perdido",IF(K90="","Sem data",IF(K90&lt;TODAY(),"Atrasado",IF(K90=TODAY(),"Hoje","Agendado")))))))</f>
        <v/>
      </c>
      <c r="AD90" s="5">
        <f>IF(A90="","",IF(OR(AK90&lt;&gt;"Qualificado",Y90&lt;&gt;"Verificado",U90="",Z90="",AA90=""),"Pendente",IF(AND(Z90&gt;=7,AA90&gt;=6),"Alta",IF(AND(Z90&gt;=5,AA90&gt;=4),"Média","Baixa"))))</f>
        <v/>
      </c>
    </row>
    <row r="91" spans="19:30">
      <c r="S91" s="5">
        <f>IF(A91="","",IF(H91="Fechado","Fechado",IF(H91="Perdido","Perdido",IF(K91="","Sem data",IF(K91&lt;TODAY(),"Atrasado",IF(K91=TODAY(),"Hoje","Agendado")))))))</f>
        <v/>
      </c>
      <c r="AD91" s="5">
        <f>IF(A91="","",IF(OR(AK91&lt;&gt;"Qualificado",Y91&lt;&gt;"Verificado",U91="",Z91="",AA91=""),"Pendente",IF(AND(Z91&gt;=7,AA91&gt;=6),"Alta",IF(AND(Z91&gt;=5,AA91&gt;=4),"Média","Baixa"))))</f>
        <v/>
      </c>
    </row>
    <row r="92" spans="19:30">
      <c r="S92" s="5">
        <f>IF(A92="","",IF(H92="Fechado","Fechado",IF(H92="Perdido","Perdido",IF(K92="","Sem data",IF(K92&lt;TODAY(),"Atrasado",IF(K92=TODAY(),"Hoje","Agendado")))))))</f>
        <v/>
      </c>
      <c r="AD92" s="5">
        <f>IF(A92="","",IF(OR(AK92&lt;&gt;"Qualificado",Y92&lt;&gt;"Verificado",U92="",Z92="",AA92=""),"Pendente",IF(AND(Z92&gt;=7,AA92&gt;=6),"Alta",IF(AND(Z92&gt;=5,AA92&gt;=4),"Média","Baixa"))))</f>
        <v/>
      </c>
    </row>
    <row r="93" spans="19:30">
      <c r="S93" s="5">
        <f>IF(A93="","",IF(H93="Fechado","Fechado",IF(H93="Perdido","Perdido",IF(K93="","Sem data",IF(K93&lt;TODAY(),"Atrasado",IF(K93=TODAY(),"Hoje","Agendado")))))))</f>
        <v/>
      </c>
      <c r="AD93" s="5">
        <f>IF(A93="","",IF(OR(AK93&lt;&gt;"Qualificado",Y93&lt;&gt;"Verificado",U93="",Z93="",AA93=""),"Pendente",IF(AND(Z93&gt;=7,AA93&gt;=6),"Alta",IF(AND(Z93&gt;=5,AA93&gt;=4),"Média","Baixa"))))</f>
        <v/>
      </c>
    </row>
    <row r="94" spans="19:30">
      <c r="S94" s="5">
        <f>IF(A94="","",IF(H94="Fechado","Fechado",IF(H94="Perdido","Perdido",IF(K94="","Sem data",IF(K94&lt;TODAY(),"Atrasado",IF(K94=TODAY(),"Hoje","Agendado")))))))</f>
        <v/>
      </c>
      <c r="AD94" s="5">
        <f>IF(A94="","",IF(OR(AK94&lt;&gt;"Qualificado",Y94&lt;&gt;"Verificado",U94="",Z94="",AA94=""),"Pendente",IF(AND(Z94&gt;=7,AA94&gt;=6),"Alta",IF(AND(Z94&gt;=5,AA94&gt;=4),"Média","Baixa"))))</f>
        <v/>
      </c>
    </row>
    <row r="95" spans="19:30">
      <c r="S95" s="5">
        <f>IF(A95="","",IF(H95="Fechado","Fechado",IF(H95="Perdido","Perdido",IF(K95="","Sem data",IF(K95&lt;TODAY(),"Atrasado",IF(K95=TODAY(),"Hoje","Agendado")))))))</f>
        <v/>
      </c>
      <c r="AD95" s="5">
        <f>IF(A95="","",IF(OR(AK95&lt;&gt;"Qualificado",Y95&lt;&gt;"Verificado",U95="",Z95="",AA95=""),"Pendente",IF(AND(Z95&gt;=7,AA95&gt;=6),"Alta",IF(AND(Z95&gt;=5,AA95&gt;=4),"Média","Baixa"))))</f>
        <v/>
      </c>
    </row>
    <row r="96" spans="19:30">
      <c r="S96" s="5">
        <f>IF(A96="","",IF(H96="Fechado","Fechado",IF(H96="Perdido","Perdido",IF(K96="","Sem data",IF(K96&lt;TODAY(),"Atrasado",IF(K96=TODAY(),"Hoje","Agendado")))))))</f>
        <v/>
      </c>
      <c r="AD96" s="5">
        <f>IF(A96="","",IF(OR(AK96&lt;&gt;"Qualificado",Y96&lt;&gt;"Verificado",U96="",Z96="",AA96=""),"Pendente",IF(AND(Z96&gt;=7,AA96&gt;=6),"Alta",IF(AND(Z96&gt;=5,AA96&gt;=4),"Média","Baixa"))))</f>
        <v/>
      </c>
    </row>
    <row r="97" spans="19:30">
      <c r="S97" s="5">
        <f>IF(A97="","",IF(H97="Fechado","Fechado",IF(H97="Perdido","Perdido",IF(K97="","Sem data",IF(K97&lt;TODAY(),"Atrasado",IF(K97=TODAY(),"Hoje","Agendado")))))))</f>
        <v/>
      </c>
      <c r="AD97" s="5">
        <f>IF(A97="","",IF(OR(AK97&lt;&gt;"Qualificado",Y97&lt;&gt;"Verificado",U97="",Z97="",AA97=""),"Pendente",IF(AND(Z97&gt;=7,AA97&gt;=6),"Alta",IF(AND(Z97&gt;=5,AA97&gt;=4),"Média","Baixa"))))</f>
        <v/>
      </c>
    </row>
    <row r="98" spans="19:30">
      <c r="S98" s="5">
        <f>IF(A98="","",IF(H98="Fechado","Fechado",IF(H98="Perdido","Perdido",IF(K98="","Sem data",IF(K98&lt;TODAY(),"Atrasado",IF(K98=TODAY(),"Hoje","Agendado")))))))</f>
        <v/>
      </c>
      <c r="AD98" s="5">
        <f>IF(A98="","",IF(OR(AK98&lt;&gt;"Qualificado",Y98&lt;&gt;"Verificado",U98="",Z98="",AA98=""),"Pendente",IF(AND(Z98&gt;=7,AA98&gt;=6),"Alta",IF(AND(Z98&gt;=5,AA98&gt;=4),"Média","Baixa"))))</f>
        <v/>
      </c>
    </row>
    <row r="99" spans="19:30">
      <c r="S99" s="5">
        <f>IF(A99="","",IF(H99="Fechado","Fechado",IF(H99="Perdido","Perdido",IF(K99="","Sem data",IF(K99&lt;TODAY(),"Atrasado",IF(K99=TODAY(),"Hoje","Agendado")))))))</f>
        <v/>
      </c>
      <c r="AD99" s="5">
        <f>IF(A99="","",IF(OR(AK99&lt;&gt;"Qualificado",Y99&lt;&gt;"Verificado",U99="",Z99="",AA99=""),"Pendente",IF(AND(Z99&gt;=7,AA99&gt;=6),"Alta",IF(AND(Z99&gt;=5,AA99&gt;=4),"Média","Baixa"))))</f>
        <v/>
      </c>
    </row>
    <row r="100" spans="19:30">
      <c r="S100" s="5">
        <f>IF(A100="","",IF(H100="Fechado","Fechado",IF(H100="Perdido","Perdido",IF(K100="","Sem data",IF(K100&lt;TODAY(),"Atrasado",IF(K100=TODAY(),"Hoje","Agendado")))))))</f>
        <v/>
      </c>
      <c r="AD100" s="5">
        <f>IF(A100="","",IF(OR(AK100&lt;&gt;"Qualificado",Y100&lt;&gt;"Verificado",U100="",Z100="",AA100=""),"Pendente",IF(AND(Z100&gt;=7,AA100&gt;=6),"Alta",IF(AND(Z100&gt;=5,AA100&gt;=4),"Média","Baixa"))))</f>
        <v/>
      </c>
    </row>
    <row r="101" spans="19:30">
      <c r="S101" s="5">
        <f>IF(A101="","",IF(H101="Fechado","Fechado",IF(H101="Perdido","Perdido",IF(K101="","Sem data",IF(K101&lt;TODAY(),"Atrasado",IF(K101=TODAY(),"Hoje","Agendado")))))))</f>
        <v/>
      </c>
      <c r="AD101" s="5">
        <f>IF(A101="","",IF(OR(AK101&lt;&gt;"Qualificado",Y101&lt;&gt;"Verificado",U101="",Z101="",AA101=""),"Pendente",IF(AND(Z101&gt;=7,AA101&gt;=6),"Alta",IF(AND(Z101&gt;=5,AA101&gt;=4),"Média","Baixa"))))</f>
        <v/>
      </c>
    </row>
    <row r="102" spans="19:30">
      <c r="S102" s="5">
        <f>IF(A102="","",IF(H102="Fechado","Fechado",IF(H102="Perdido","Perdido",IF(K102="","Sem data",IF(K102&lt;TODAY(),"Atrasado",IF(K102=TODAY(),"Hoje","Agendado")))))))</f>
        <v/>
      </c>
      <c r="AD102" s="5">
        <f>IF(A102="","",IF(OR(AK102&lt;&gt;"Qualificado",Y102&lt;&gt;"Verificado",U102="",Z102="",AA102=""),"Pendente",IF(AND(Z102&gt;=7,AA102&gt;=6),"Alta",IF(AND(Z102&gt;=5,AA102&gt;=4),"Média","Baixa"))))</f>
        <v/>
      </c>
    </row>
    <row r="103" spans="19:30">
      <c r="S103" s="5">
        <f>IF(A103="","",IF(H103="Fechado","Fechado",IF(H103="Perdido","Perdido",IF(K103="","Sem data",IF(K103&lt;TODAY(),"Atrasado",IF(K103=TODAY(),"Hoje","Agendado")))))))</f>
        <v/>
      </c>
      <c r="AD103" s="5">
        <f>IF(A103="","",IF(OR(AK103&lt;&gt;"Qualificado",Y103&lt;&gt;"Verificado",U103="",Z103="",AA103=""),"Pendente",IF(AND(Z103&gt;=7,AA103&gt;=6),"Alta",IF(AND(Z103&gt;=5,AA103&gt;=4),"Média","Baixa"))))</f>
        <v/>
      </c>
    </row>
    <row r="104" spans="19:30">
      <c r="S104" s="5">
        <f>IF(A104="","",IF(H104="Fechado","Fechado",IF(H104="Perdido","Perdido",IF(K104="","Sem data",IF(K104&lt;TODAY(),"Atrasado",IF(K104=TODAY(),"Hoje","Agendado")))))))</f>
        <v/>
      </c>
      <c r="AD104" s="5">
        <f>IF(A104="","",IF(OR(AK104&lt;&gt;"Qualificado",Y104&lt;&gt;"Verificado",U104="",Z104="",AA104=""),"Pendente",IF(AND(Z104&gt;=7,AA104&gt;=6),"Alta",IF(AND(Z104&gt;=5,AA104&gt;=4),"Média","Baixa"))))</f>
        <v/>
      </c>
    </row>
    <row r="105" spans="19:30">
      <c r="S105" s="5">
        <f>IF(A105="","",IF(H105="Fechado","Fechado",IF(H105="Perdido","Perdido",IF(K105="","Sem data",IF(K105&lt;TODAY(),"Atrasado",IF(K105=TODAY(),"Hoje","Agendado")))))))</f>
        <v/>
      </c>
      <c r="AD105" s="5">
        <f>IF(A105="","",IF(OR(AK105&lt;&gt;"Qualificado",Y105&lt;&gt;"Verificado",U105="",Z105="",AA105=""),"Pendente",IF(AND(Z105&gt;=7,AA105&gt;=6),"Alta",IF(AND(Z105&gt;=5,AA105&gt;=4),"Média","Baixa"))))</f>
        <v/>
      </c>
    </row>
    <row r="106" spans="19:30">
      <c r="S106" s="5">
        <f>IF(A106="","",IF(H106="Fechado","Fechado",IF(H106="Perdido","Perdido",IF(K106="","Sem data",IF(K106&lt;TODAY(),"Atrasado",IF(K106=TODAY(),"Hoje","Agendado")))))))</f>
        <v/>
      </c>
      <c r="AD106" s="5">
        <f>IF(A106="","",IF(OR(AK106&lt;&gt;"Qualificado",Y106&lt;&gt;"Verificado",U106="",Z106="",AA106=""),"Pendente",IF(AND(Z106&gt;=7,AA106&gt;=6),"Alta",IF(AND(Z106&gt;=5,AA106&gt;=4),"Média","Baixa"))))</f>
        <v/>
      </c>
    </row>
    <row r="107" spans="19:30">
      <c r="S107" s="5">
        <f>IF(A107="","",IF(H107="Fechado","Fechado",IF(H107="Perdido","Perdido",IF(K107="","Sem data",IF(K107&lt;TODAY(),"Atrasado",IF(K107=TODAY(),"Hoje","Agendado")))))))</f>
        <v/>
      </c>
      <c r="AD107" s="5">
        <f>IF(A107="","",IF(OR(AK107&lt;&gt;"Qualificado",Y107&lt;&gt;"Verificado",U107="",Z107="",AA107=""),"Pendente",IF(AND(Z107&gt;=7,AA107&gt;=6),"Alta",IF(AND(Z107&gt;=5,AA107&gt;=4),"Média","Baixa"))))</f>
        <v/>
      </c>
    </row>
    <row r="108" spans="19:30">
      <c r="S108" s="5">
        <f>IF(A108="","",IF(H108="Fechado","Fechado",IF(H108="Perdido","Perdido",IF(K108="","Sem data",IF(K108&lt;TODAY(),"Atrasado",IF(K108=TODAY(),"Hoje","Agendado")))))))</f>
        <v/>
      </c>
      <c r="AD108" s="5">
        <f>IF(A108="","",IF(OR(AK108&lt;&gt;"Qualificado",Y108&lt;&gt;"Verificado",U108="",Z108="",AA108=""),"Pendente",IF(AND(Z108&gt;=7,AA108&gt;=6),"Alta",IF(AND(Z108&gt;=5,AA108&gt;=4),"Média","Baixa"))))</f>
        <v/>
      </c>
    </row>
    <row r="109" spans="19:30">
      <c r="S109" s="5">
        <f>IF(A109="","",IF(H109="Fechado","Fechado",IF(H109="Perdido","Perdido",IF(K109="","Sem data",IF(K109&lt;TODAY(),"Atrasado",IF(K109=TODAY(),"Hoje","Agendado")))))))</f>
        <v/>
      </c>
      <c r="AD109" s="5">
        <f>IF(A109="","",IF(OR(AK109&lt;&gt;"Qualificado",Y109&lt;&gt;"Verificado",U109="",Z109="",AA109=""),"Pendente",IF(AND(Z109&gt;=7,AA109&gt;=6),"Alta",IF(AND(Z109&gt;=5,AA109&gt;=4),"Média","Baixa"))))</f>
        <v/>
      </c>
    </row>
    <row r="110" spans="19:30">
      <c r="S110" s="5">
        <f>IF(A110="","",IF(H110="Fechado","Fechado",IF(H110="Perdido","Perdido",IF(K110="","Sem data",IF(K110&lt;TODAY(),"Atrasado",IF(K110=TODAY(),"Hoje","Agendado")))))))</f>
        <v/>
      </c>
      <c r="AD110" s="5">
        <f>IF(A110="","",IF(OR(AK110&lt;&gt;"Qualificado",Y110&lt;&gt;"Verificado",U110="",Z110="",AA110=""),"Pendente",IF(AND(Z110&gt;=7,AA110&gt;=6),"Alta",IF(AND(Z110&gt;=5,AA110&gt;=4),"Média","Baixa"))))</f>
        <v/>
      </c>
    </row>
    <row r="111" spans="19:30">
      <c r="S111" s="5">
        <f>IF(A111="","",IF(H111="Fechado","Fechado",IF(H111="Perdido","Perdido",IF(K111="","Sem data",IF(K111&lt;TODAY(),"Atrasado",IF(K111=TODAY(),"Hoje","Agendado")))))))</f>
        <v/>
      </c>
      <c r="AD111" s="5">
        <f>IF(A111="","",IF(OR(AK111&lt;&gt;"Qualificado",Y111&lt;&gt;"Verificado",U111="",Z111="",AA111=""),"Pendente",IF(AND(Z111&gt;=7,AA111&gt;=6),"Alta",IF(AND(Z111&gt;=5,AA111&gt;=4),"Média","Baixa"))))</f>
        <v/>
      </c>
    </row>
    <row r="112" spans="19:30">
      <c r="S112" s="5">
        <f>IF(A112="","",IF(H112="Fechado","Fechado",IF(H112="Perdido","Perdido",IF(K112="","Sem data",IF(K112&lt;TODAY(),"Atrasado",IF(K112=TODAY(),"Hoje","Agendado")))))))</f>
        <v/>
      </c>
      <c r="AD112" s="5">
        <f>IF(A112="","",IF(OR(AK112&lt;&gt;"Qualificado",Y112&lt;&gt;"Verificado",U112="",Z112="",AA112=""),"Pendente",IF(AND(Z112&gt;=7,AA112&gt;=6),"Alta",IF(AND(Z112&gt;=5,AA112&gt;=4),"Média","Baixa"))))</f>
        <v/>
      </c>
    </row>
    <row r="113" spans="19:30">
      <c r="S113" s="5">
        <f>IF(A113="","",IF(H113="Fechado","Fechado",IF(H113="Perdido","Perdido",IF(K113="","Sem data",IF(K113&lt;TODAY(),"Atrasado",IF(K113=TODAY(),"Hoje","Agendado")))))))</f>
        <v/>
      </c>
      <c r="AD113" s="5">
        <f>IF(A113="","",IF(OR(AK113&lt;&gt;"Qualificado",Y113&lt;&gt;"Verificado",U113="",Z113="",AA113=""),"Pendente",IF(AND(Z113&gt;=7,AA113&gt;=6),"Alta",IF(AND(Z113&gt;=5,AA113&gt;=4),"Média","Baixa"))))</f>
        <v/>
      </c>
    </row>
    <row r="114" spans="19:30">
      <c r="S114" s="5">
        <f>IF(A114="","",IF(H114="Fechado","Fechado",IF(H114="Perdido","Perdido",IF(K114="","Sem data",IF(K114&lt;TODAY(),"Atrasado",IF(K114=TODAY(),"Hoje","Agendado")))))))</f>
        <v/>
      </c>
      <c r="AD114" s="5">
        <f>IF(A114="","",IF(OR(AK114&lt;&gt;"Qualificado",Y114&lt;&gt;"Verificado",U114="",Z114="",AA114=""),"Pendente",IF(AND(Z114&gt;=7,AA114&gt;=6),"Alta",IF(AND(Z114&gt;=5,AA114&gt;=4),"Média","Baixa"))))</f>
        <v/>
      </c>
    </row>
    <row r="115" spans="19:30">
      <c r="S115" s="5">
        <f>IF(A115="","",IF(H115="Fechado","Fechado",IF(H115="Perdido","Perdido",IF(K115="","Sem data",IF(K115&lt;TODAY(),"Atrasado",IF(K115=TODAY(),"Hoje","Agendado")))))))</f>
        <v/>
      </c>
      <c r="AD115" s="5">
        <f>IF(A115="","",IF(OR(AK115&lt;&gt;"Qualificado",Y115&lt;&gt;"Verificado",U115="",Z115="",AA115=""),"Pendente",IF(AND(Z115&gt;=7,AA115&gt;=6),"Alta",IF(AND(Z115&gt;=5,AA115&gt;=4),"Média","Baixa"))))</f>
        <v/>
      </c>
    </row>
    <row r="116" spans="19:30">
      <c r="S116" s="5">
        <f>IF(A116="","",IF(H116="Fechado","Fechado",IF(H116="Perdido","Perdido",IF(K116="","Sem data",IF(K116&lt;TODAY(),"Atrasado",IF(K116=TODAY(),"Hoje","Agendado")))))))</f>
        <v/>
      </c>
      <c r="AD116" s="5">
        <f>IF(A116="","",IF(OR(AK116&lt;&gt;"Qualificado",Y116&lt;&gt;"Verificado",U116="",Z116="",AA116=""),"Pendente",IF(AND(Z116&gt;=7,AA116&gt;=6),"Alta",IF(AND(Z116&gt;=5,AA116&gt;=4),"Média","Baixa"))))</f>
        <v/>
      </c>
    </row>
    <row r="117" spans="19:30">
      <c r="S117" s="5">
        <f>IF(A117="","",IF(H117="Fechado","Fechado",IF(H117="Perdido","Perdido",IF(K117="","Sem data",IF(K117&lt;TODAY(),"Atrasado",IF(K117=TODAY(),"Hoje","Agendado")))))))</f>
        <v/>
      </c>
      <c r="AD117" s="5">
        <f>IF(A117="","",IF(OR(AK117&lt;&gt;"Qualificado",Y117&lt;&gt;"Verificado",U117="",Z117="",AA117=""),"Pendente",IF(AND(Z117&gt;=7,AA117&gt;=6),"Alta",IF(AND(Z117&gt;=5,AA117&gt;=4),"Média","Baixa"))))</f>
        <v/>
      </c>
    </row>
    <row r="118" spans="19:30">
      <c r="S118" s="5">
        <f>IF(A118="","",IF(H118="Fechado","Fechado",IF(H118="Perdido","Perdido",IF(K118="","Sem data",IF(K118&lt;TODAY(),"Atrasado",IF(K118=TODAY(),"Hoje","Agendado")))))))</f>
        <v/>
      </c>
      <c r="AD118" s="5">
        <f>IF(A118="","",IF(OR(AK118&lt;&gt;"Qualificado",Y118&lt;&gt;"Verificado",U118="",Z118="",AA118=""),"Pendente",IF(AND(Z118&gt;=7,AA118&gt;=6),"Alta",IF(AND(Z118&gt;=5,AA118&gt;=4),"Média","Baixa"))))</f>
        <v/>
      </c>
    </row>
    <row r="119" spans="19:30">
      <c r="S119" s="5">
        <f>IF(A119="","",IF(H119="Fechado","Fechado",IF(H119="Perdido","Perdido",IF(K119="","Sem data",IF(K119&lt;TODAY(),"Atrasado",IF(K119=TODAY(),"Hoje","Agendado")))))))</f>
        <v/>
      </c>
      <c r="AD119" s="5">
        <f>IF(A119="","",IF(OR(AK119&lt;&gt;"Qualificado",Y119&lt;&gt;"Verificado",U119="",Z119="",AA119=""),"Pendente",IF(AND(Z119&gt;=7,AA119&gt;=6),"Alta",IF(AND(Z119&gt;=5,AA119&gt;=4),"Média","Baixa"))))</f>
        <v/>
      </c>
    </row>
    <row r="120" spans="19:30">
      <c r="S120" s="5">
        <f>IF(A120="","",IF(H120="Fechado","Fechado",IF(H120="Perdido","Perdido",IF(K120="","Sem data",IF(K120&lt;TODAY(),"Atrasado",IF(K120=TODAY(),"Hoje","Agendado")))))))</f>
        <v/>
      </c>
      <c r="AD120" s="5">
        <f>IF(A120="","",IF(OR(AK120&lt;&gt;"Qualificado",Y120&lt;&gt;"Verificado",U120="",Z120="",AA120=""),"Pendente",IF(AND(Z120&gt;=7,AA120&gt;=6),"Alta",IF(AND(Z120&gt;=5,AA120&gt;=4),"Média","Baixa"))))</f>
        <v/>
      </c>
    </row>
    <row r="121" spans="19:30">
      <c r="S121" s="5">
        <f>IF(A121="","",IF(H121="Fechado","Fechado",IF(H121="Perdido","Perdido",IF(K121="","Sem data",IF(K121&lt;TODAY(),"Atrasado",IF(K121=TODAY(),"Hoje","Agendado")))))))</f>
        <v/>
      </c>
      <c r="AD121" s="5">
        <f>IF(A121="","",IF(OR(AK121&lt;&gt;"Qualificado",Y121&lt;&gt;"Verificado",U121="",Z121="",AA121=""),"Pendente",IF(AND(Z121&gt;=7,AA121&gt;=6),"Alta",IF(AND(Z121&gt;=5,AA121&gt;=4),"Média","Baixa"))))</f>
        <v/>
      </c>
    </row>
    <row r="122" spans="19:30">
      <c r="S122" s="5">
        <f>IF(A122="","",IF(H122="Fechado","Fechado",IF(H122="Perdido","Perdido",IF(K122="","Sem data",IF(K122&lt;TODAY(),"Atrasado",IF(K122=TODAY(),"Hoje","Agendado")))))))</f>
        <v/>
      </c>
      <c r="AD122" s="5">
        <f>IF(A122="","",IF(OR(AK122&lt;&gt;"Qualificado",Y122&lt;&gt;"Verificado",U122="",Z122="",AA122=""),"Pendente",IF(AND(Z122&gt;=7,AA122&gt;=6),"Alta",IF(AND(Z122&gt;=5,AA122&gt;=4),"Média","Baixa"))))</f>
        <v/>
      </c>
    </row>
    <row r="123" spans="19:30">
      <c r="S123" s="5">
        <f>IF(A123="","",IF(H123="Fechado","Fechado",IF(H123="Perdido","Perdido",IF(K123="","Sem data",IF(K123&lt;TODAY(),"Atrasado",IF(K123=TODAY(),"Hoje","Agendado")))))))</f>
        <v/>
      </c>
      <c r="AD123" s="5">
        <f>IF(A123="","",IF(OR(AK123&lt;&gt;"Qualificado",Y123&lt;&gt;"Verificado",U123="",Z123="",AA123=""),"Pendente",IF(AND(Z123&gt;=7,AA123&gt;=6),"Alta",IF(AND(Z123&gt;=5,AA123&gt;=4),"Média","Baixa"))))</f>
        <v/>
      </c>
    </row>
    <row r="124" spans="19:30">
      <c r="S124" s="5">
        <f>IF(A124="","",IF(H124="Fechado","Fechado",IF(H124="Perdido","Perdido",IF(K124="","Sem data",IF(K124&lt;TODAY(),"Atrasado",IF(K124=TODAY(),"Hoje","Agendado")))))))</f>
        <v/>
      </c>
      <c r="AD124" s="5">
        <f>IF(A124="","",IF(OR(AK124&lt;&gt;"Qualificado",Y124&lt;&gt;"Verificado",U124="",Z124="",AA124=""),"Pendente",IF(AND(Z124&gt;=7,AA124&gt;=6),"Alta",IF(AND(Z124&gt;=5,AA124&gt;=4),"Média","Baixa"))))</f>
        <v/>
      </c>
    </row>
    <row r="125" spans="19:30">
      <c r="S125" s="5">
        <f>IF(A125="","",IF(H125="Fechado","Fechado",IF(H125="Perdido","Perdido",IF(K125="","Sem data",IF(K125&lt;TODAY(),"Atrasado",IF(K125=TODAY(),"Hoje","Agendado")))))))</f>
        <v/>
      </c>
      <c r="AD125" s="5">
        <f>IF(A125="","",IF(OR(AK125&lt;&gt;"Qualificado",Y125&lt;&gt;"Verificado",U125="",Z125="",AA125=""),"Pendente",IF(AND(Z125&gt;=7,AA125&gt;=6),"Alta",IF(AND(Z125&gt;=5,AA125&gt;=4),"Média","Baixa"))))</f>
        <v/>
      </c>
    </row>
    <row r="126" spans="19:30">
      <c r="S126" s="5">
        <f>IF(A126="","",IF(H126="Fechado","Fechado",IF(H126="Perdido","Perdido",IF(K126="","Sem data",IF(K126&lt;TODAY(),"Atrasado",IF(K126=TODAY(),"Hoje","Agendado")))))))</f>
        <v/>
      </c>
      <c r="AD126" s="5">
        <f>IF(A126="","",IF(OR(AK126&lt;&gt;"Qualificado",Y126&lt;&gt;"Verificado",U126="",Z126="",AA126=""),"Pendente",IF(AND(Z126&gt;=7,AA126&gt;=6),"Alta",IF(AND(Z126&gt;=5,AA126&gt;=4),"Média","Baixa"))))</f>
        <v/>
      </c>
    </row>
    <row r="127" spans="19:30">
      <c r="S127" s="5">
        <f>IF(A127="","",IF(H127="Fechado","Fechado",IF(H127="Perdido","Perdido",IF(K127="","Sem data",IF(K127&lt;TODAY(),"Atrasado",IF(K127=TODAY(),"Hoje","Agendado")))))))</f>
        <v/>
      </c>
      <c r="AD127" s="5">
        <f>IF(A127="","",IF(OR(AK127&lt;&gt;"Qualificado",Y127&lt;&gt;"Verificado",U127="",Z127="",AA127=""),"Pendente",IF(AND(Z127&gt;=7,AA127&gt;=6),"Alta",IF(AND(Z127&gt;=5,AA127&gt;=4),"Média","Baixa"))))</f>
        <v/>
      </c>
    </row>
    <row r="128" spans="19:30">
      <c r="S128" s="5">
        <f>IF(A128="","",IF(H128="Fechado","Fechado",IF(H128="Perdido","Perdido",IF(K128="","Sem data",IF(K128&lt;TODAY(),"Atrasado",IF(K128=TODAY(),"Hoje","Agendado")))))))</f>
        <v/>
      </c>
      <c r="AD128" s="5">
        <f>IF(A128="","",IF(OR(AK128&lt;&gt;"Qualificado",Y128&lt;&gt;"Verificado",U128="",Z128="",AA128=""),"Pendente",IF(AND(Z128&gt;=7,AA128&gt;=6),"Alta",IF(AND(Z128&gt;=5,AA128&gt;=4),"Média","Baixa"))))</f>
        <v/>
      </c>
    </row>
    <row r="129" spans="19:30">
      <c r="S129" s="5">
        <f>IF(A129="","",IF(H129="Fechado","Fechado",IF(H129="Perdido","Perdido",IF(K129="","Sem data",IF(K129&lt;TODAY(),"Atrasado",IF(K129=TODAY(),"Hoje","Agendado")))))))</f>
        <v/>
      </c>
      <c r="AD129" s="5">
        <f>IF(A129="","",IF(OR(AK129&lt;&gt;"Qualificado",Y129&lt;&gt;"Verificado",U129="",Z129="",AA129=""),"Pendente",IF(AND(Z129&gt;=7,AA129&gt;=6),"Alta",IF(AND(Z129&gt;=5,AA129&gt;=4),"Média","Baixa"))))</f>
        <v/>
      </c>
    </row>
    <row r="130" spans="19:30">
      <c r="S130" s="5">
        <f>IF(A130="","",IF(H130="Fechado","Fechado",IF(H130="Perdido","Perdido",IF(K130="","Sem data",IF(K130&lt;TODAY(),"Atrasado",IF(K130=TODAY(),"Hoje","Agendado")))))))</f>
        <v/>
      </c>
      <c r="AD130" s="5">
        <f>IF(A130="","",IF(OR(AK130&lt;&gt;"Qualificado",Y130&lt;&gt;"Verificado",U130="",Z130="",AA130=""),"Pendente",IF(AND(Z130&gt;=7,AA130&gt;=6),"Alta",IF(AND(Z130&gt;=5,AA130&gt;=4),"Média","Baixa"))))</f>
        <v/>
      </c>
    </row>
    <row r="131" spans="19:30">
      <c r="S131" s="5">
        <f>IF(A131="","",IF(H131="Fechado","Fechado",IF(H131="Perdido","Perdido",IF(K131="","Sem data",IF(K131&lt;TODAY(),"Atrasado",IF(K131=TODAY(),"Hoje","Agendado")))))))</f>
        <v/>
      </c>
      <c r="AD131" s="5">
        <f>IF(A131="","",IF(OR(AK131&lt;&gt;"Qualificado",Y131&lt;&gt;"Verificado",U131="",Z131="",AA131=""),"Pendente",IF(AND(Z131&gt;=7,AA131&gt;=6),"Alta",IF(AND(Z131&gt;=5,AA131&gt;=4),"Média","Baixa"))))</f>
        <v/>
      </c>
    </row>
    <row r="132" spans="19:30">
      <c r="S132" s="5">
        <f>IF(A132="","",IF(H132="Fechado","Fechado",IF(H132="Perdido","Perdido",IF(K132="","Sem data",IF(K132&lt;TODAY(),"Atrasado",IF(K132=TODAY(),"Hoje","Agendado")))))))</f>
        <v/>
      </c>
      <c r="AD132" s="5">
        <f>IF(A132="","",IF(OR(AK132&lt;&gt;"Qualificado",Y132&lt;&gt;"Verificado",U132="",Z132="",AA132=""),"Pendente",IF(AND(Z132&gt;=7,AA132&gt;=6),"Alta",IF(AND(Z132&gt;=5,AA132&gt;=4),"Média","Baixa"))))</f>
        <v/>
      </c>
    </row>
    <row r="133" spans="19:30">
      <c r="S133" s="5">
        <f>IF(A133="","",IF(H133="Fechado","Fechado",IF(H133="Perdido","Perdido",IF(K133="","Sem data",IF(K133&lt;TODAY(),"Atrasado",IF(K133=TODAY(),"Hoje","Agendado")))))))</f>
        <v/>
      </c>
      <c r="AD133" s="5">
        <f>IF(A133="","",IF(OR(AK133&lt;&gt;"Qualificado",Y133&lt;&gt;"Verificado",U133="",Z133="",AA133=""),"Pendente",IF(AND(Z133&gt;=7,AA133&gt;=6),"Alta",IF(AND(Z133&gt;=5,AA133&gt;=4),"Média","Baixa"))))</f>
        <v/>
      </c>
    </row>
    <row r="134" spans="19:30">
      <c r="S134" s="5">
        <f>IF(A134="","",IF(H134="Fechado","Fechado",IF(H134="Perdido","Perdido",IF(K134="","Sem data",IF(K134&lt;TODAY(),"Atrasado",IF(K134=TODAY(),"Hoje","Agendado")))))))</f>
        <v/>
      </c>
      <c r="AD134" s="5">
        <f>IF(A134="","",IF(OR(AK134&lt;&gt;"Qualificado",Y134&lt;&gt;"Verificado",U134="",Z134="",AA134=""),"Pendente",IF(AND(Z134&gt;=7,AA134&gt;=6),"Alta",IF(AND(Z134&gt;=5,AA134&gt;=4),"Média","Baixa"))))</f>
        <v/>
      </c>
    </row>
    <row r="135" spans="19:30">
      <c r="S135" s="5">
        <f>IF(A135="","",IF(H135="Fechado","Fechado",IF(H135="Perdido","Perdido",IF(K135="","Sem data",IF(K135&lt;TODAY(),"Atrasado",IF(K135=TODAY(),"Hoje","Agendado")))))))</f>
        <v/>
      </c>
      <c r="AD135" s="5">
        <f>IF(A135="","",IF(OR(AK135&lt;&gt;"Qualificado",Y135&lt;&gt;"Verificado",U135="",Z135="",AA135=""),"Pendente",IF(AND(Z135&gt;=7,AA135&gt;=6),"Alta",IF(AND(Z135&gt;=5,AA135&gt;=4),"Média","Baixa"))))</f>
        <v/>
      </c>
    </row>
    <row r="136" spans="19:30">
      <c r="S136" s="5">
        <f>IF(A136="","",IF(H136="Fechado","Fechado",IF(H136="Perdido","Perdido",IF(K136="","Sem data",IF(K136&lt;TODAY(),"Atrasado",IF(K136=TODAY(),"Hoje","Agendado")))))))</f>
        <v/>
      </c>
      <c r="AD136" s="5">
        <f>IF(A136="","",IF(OR(AK136&lt;&gt;"Qualificado",Y136&lt;&gt;"Verificado",U136="",Z136="",AA136=""),"Pendente",IF(AND(Z136&gt;=7,AA136&gt;=6),"Alta",IF(AND(Z136&gt;=5,AA136&gt;=4),"Média","Baixa"))))</f>
        <v/>
      </c>
    </row>
    <row r="137" spans="19:30">
      <c r="S137" s="5">
        <f>IF(A137="","",IF(H137="Fechado","Fechado",IF(H137="Perdido","Perdido",IF(K137="","Sem data",IF(K137&lt;TODAY(),"Atrasado",IF(K137=TODAY(),"Hoje","Agendado")))))))</f>
        <v/>
      </c>
      <c r="AD137" s="5">
        <f>IF(A137="","",IF(OR(AK137&lt;&gt;"Qualificado",Y137&lt;&gt;"Verificado",U137="",Z137="",AA137=""),"Pendente",IF(AND(Z137&gt;=7,AA137&gt;=6),"Alta",IF(AND(Z137&gt;=5,AA137&gt;=4),"Média","Baixa"))))</f>
        <v/>
      </c>
    </row>
    <row r="138" spans="19:30">
      <c r="S138" s="5">
        <f>IF(A138="","",IF(H138="Fechado","Fechado",IF(H138="Perdido","Perdido",IF(K138="","Sem data",IF(K138&lt;TODAY(),"Atrasado",IF(K138=TODAY(),"Hoje","Agendado")))))))</f>
        <v/>
      </c>
      <c r="AD138" s="5">
        <f>IF(A138="","",IF(OR(AK138&lt;&gt;"Qualificado",Y138&lt;&gt;"Verificado",U138="",Z138="",AA138=""),"Pendente",IF(AND(Z138&gt;=7,AA138&gt;=6),"Alta",IF(AND(Z138&gt;=5,AA138&gt;=4),"Média","Baixa"))))</f>
        <v/>
      </c>
    </row>
    <row r="139" spans="19:30">
      <c r="S139" s="5">
        <f>IF(A139="","",IF(H139="Fechado","Fechado",IF(H139="Perdido","Perdido",IF(K139="","Sem data",IF(K139&lt;TODAY(),"Atrasado",IF(K139=TODAY(),"Hoje","Agendado")))))))</f>
        <v/>
      </c>
      <c r="AD139" s="5">
        <f>IF(A139="","",IF(OR(AK139&lt;&gt;"Qualificado",Y139&lt;&gt;"Verificado",U139="",Z139="",AA139=""),"Pendente",IF(AND(Z139&gt;=7,AA139&gt;=6),"Alta",IF(AND(Z139&gt;=5,AA139&gt;=4),"Média","Baixa"))))</f>
        <v/>
      </c>
    </row>
    <row r="140" spans="19:30">
      <c r="S140" s="5">
        <f>IF(A140="","",IF(H140="Fechado","Fechado",IF(H140="Perdido","Perdido",IF(K140="","Sem data",IF(K140&lt;TODAY(),"Atrasado",IF(K140=TODAY(),"Hoje","Agendado")))))))</f>
        <v/>
      </c>
      <c r="AD140" s="5">
        <f>IF(A140="","",IF(OR(AK140&lt;&gt;"Qualificado",Y140&lt;&gt;"Verificado",U140="",Z140="",AA140=""),"Pendente",IF(AND(Z140&gt;=7,AA140&gt;=6),"Alta",IF(AND(Z140&gt;=5,AA140&gt;=4),"Média","Baixa"))))</f>
        <v/>
      </c>
    </row>
    <row r="141" spans="19:30">
      <c r="S141" s="5">
        <f>IF(A141="","",IF(H141="Fechado","Fechado",IF(H141="Perdido","Perdido",IF(K141="","Sem data",IF(K141&lt;TODAY(),"Atrasado",IF(K141=TODAY(),"Hoje","Agendado")))))))</f>
        <v/>
      </c>
      <c r="AD141" s="5">
        <f>IF(A141="","",IF(OR(AK141&lt;&gt;"Qualificado",Y141&lt;&gt;"Verificado",U141="",Z141="",AA141=""),"Pendente",IF(AND(Z141&gt;=7,AA141&gt;=6),"Alta",IF(AND(Z141&gt;=5,AA141&gt;=4),"Média","Baixa"))))</f>
        <v/>
      </c>
    </row>
    <row r="142" spans="19:30">
      <c r="S142" s="5">
        <f>IF(A142="","",IF(H142="Fechado","Fechado",IF(H142="Perdido","Perdido",IF(K142="","Sem data",IF(K142&lt;TODAY(),"Atrasado",IF(K142=TODAY(),"Hoje","Agendado")))))))</f>
        <v/>
      </c>
      <c r="AD142" s="5">
        <f>IF(A142="","",IF(OR(AK142&lt;&gt;"Qualificado",Y142&lt;&gt;"Verificado",U142="",Z142="",AA142=""),"Pendente",IF(AND(Z142&gt;=7,AA142&gt;=6),"Alta",IF(AND(Z142&gt;=5,AA142&gt;=4),"Média","Baixa"))))</f>
        <v/>
      </c>
    </row>
    <row r="143" spans="19:30">
      <c r="S143" s="5">
        <f>IF(A143="","",IF(H143="Fechado","Fechado",IF(H143="Perdido","Perdido",IF(K143="","Sem data",IF(K143&lt;TODAY(),"Atrasado",IF(K143=TODAY(),"Hoje","Agendado")))))))</f>
        <v/>
      </c>
      <c r="AD143" s="5">
        <f>IF(A143="","",IF(OR(AK143&lt;&gt;"Qualificado",Y143&lt;&gt;"Verificado",U143="",Z143="",AA143=""),"Pendente",IF(AND(Z143&gt;=7,AA143&gt;=6),"Alta",IF(AND(Z143&gt;=5,AA143&gt;=4),"Média","Baixa"))))</f>
        <v/>
      </c>
    </row>
    <row r="144" spans="19:30">
      <c r="S144" s="5">
        <f>IF(A144="","",IF(H144="Fechado","Fechado",IF(H144="Perdido","Perdido",IF(K144="","Sem data",IF(K144&lt;TODAY(),"Atrasado",IF(K144=TODAY(),"Hoje","Agendado")))))))</f>
        <v/>
      </c>
      <c r="AD144" s="5">
        <f>IF(A144="","",IF(OR(AK144&lt;&gt;"Qualificado",Y144&lt;&gt;"Verificado",U144="",Z144="",AA144=""),"Pendente",IF(AND(Z144&gt;=7,AA144&gt;=6),"Alta",IF(AND(Z144&gt;=5,AA144&gt;=4),"Média","Baixa"))))</f>
        <v/>
      </c>
    </row>
    <row r="145" spans="19:30">
      <c r="S145" s="5">
        <f>IF(A145="","",IF(H145="Fechado","Fechado",IF(H145="Perdido","Perdido",IF(K145="","Sem data",IF(K145&lt;TODAY(),"Atrasado",IF(K145=TODAY(),"Hoje","Agendado")))))))</f>
        <v/>
      </c>
      <c r="AD145" s="5">
        <f>IF(A145="","",IF(OR(AK145&lt;&gt;"Qualificado",Y145&lt;&gt;"Verificado",U145="",Z145="",AA145=""),"Pendente",IF(AND(Z145&gt;=7,AA145&gt;=6),"Alta",IF(AND(Z145&gt;=5,AA145&gt;=4),"Média","Baixa"))))</f>
        <v/>
      </c>
    </row>
    <row r="146" spans="19:30">
      <c r="S146" s="5">
        <f>IF(A146="","",IF(H146="Fechado","Fechado",IF(H146="Perdido","Perdido",IF(K146="","Sem data",IF(K146&lt;TODAY(),"Atrasado",IF(K146=TODAY(),"Hoje","Agendado")))))))</f>
        <v/>
      </c>
      <c r="AD146" s="5">
        <f>IF(A146="","",IF(OR(AK146&lt;&gt;"Qualificado",Y146&lt;&gt;"Verificado",U146="",Z146="",AA146=""),"Pendente",IF(AND(Z146&gt;=7,AA146&gt;=6),"Alta",IF(AND(Z146&gt;=5,AA146&gt;=4),"Média","Baixa"))))</f>
        <v/>
      </c>
    </row>
    <row r="147" spans="19:30">
      <c r="S147" s="5">
        <f>IF(A147="","",IF(H147="Fechado","Fechado",IF(H147="Perdido","Perdido",IF(K147="","Sem data",IF(K147&lt;TODAY(),"Atrasado",IF(K147=TODAY(),"Hoje","Agendado")))))))</f>
        <v/>
      </c>
      <c r="AD147" s="5">
        <f>IF(A147="","",IF(OR(AK147&lt;&gt;"Qualificado",Y147&lt;&gt;"Verificado",U147="",Z147="",AA147=""),"Pendente",IF(AND(Z147&gt;=7,AA147&gt;=6),"Alta",IF(AND(Z147&gt;=5,AA147&gt;=4),"Média","Baixa"))))</f>
        <v/>
      </c>
    </row>
    <row r="148" spans="19:30">
      <c r="S148" s="5">
        <f>IF(A148="","",IF(H148="Fechado","Fechado",IF(H148="Perdido","Perdido",IF(K148="","Sem data",IF(K148&lt;TODAY(),"Atrasado",IF(K148=TODAY(),"Hoje","Agendado")))))))</f>
        <v/>
      </c>
      <c r="AD148" s="5">
        <f>IF(A148="","",IF(OR(AK148&lt;&gt;"Qualificado",Y148&lt;&gt;"Verificado",U148="",Z148="",AA148=""),"Pendente",IF(AND(Z148&gt;=7,AA148&gt;=6),"Alta",IF(AND(Z148&gt;=5,AA148&gt;=4),"Média","Baixa"))))</f>
        <v/>
      </c>
    </row>
    <row r="149" spans="19:30">
      <c r="S149" s="5">
        <f>IF(A149="","",IF(H149="Fechado","Fechado",IF(H149="Perdido","Perdido",IF(K149="","Sem data",IF(K149&lt;TODAY(),"Atrasado",IF(K149=TODAY(),"Hoje","Agendado")))))))</f>
        <v/>
      </c>
      <c r="AD149" s="5">
        <f>IF(A149="","",IF(OR(AK149&lt;&gt;"Qualificado",Y149&lt;&gt;"Verificado",U149="",Z149="",AA149=""),"Pendente",IF(AND(Z149&gt;=7,AA149&gt;=6),"Alta",IF(AND(Z149&gt;=5,AA149&gt;=4),"Média","Baixa"))))</f>
        <v/>
      </c>
    </row>
    <row r="150" spans="19:30">
      <c r="S150" s="5">
        <f>IF(A150="","",IF(H150="Fechado","Fechado",IF(H150="Perdido","Perdido",IF(K150="","Sem data",IF(K150&lt;TODAY(),"Atrasado",IF(K150=TODAY(),"Hoje","Agendado")))))))</f>
        <v/>
      </c>
      <c r="AD150" s="5">
        <f>IF(A150="","",IF(OR(AK150&lt;&gt;"Qualificado",Y150&lt;&gt;"Verificado",U150="",Z150="",AA150=""),"Pendente",IF(AND(Z150&gt;=7,AA150&gt;=6),"Alta",IF(AND(Z150&gt;=5,AA150&gt;=4),"Média","Baixa"))))</f>
        <v/>
      </c>
    </row>
    <row r="151" spans="19:30">
      <c r="S151" s="5">
        <f>IF(A151="","",IF(H151="Fechado","Fechado",IF(H151="Perdido","Perdido",IF(K151="","Sem data",IF(K151&lt;TODAY(),"Atrasado",IF(K151=TODAY(),"Hoje","Agendado")))))))</f>
        <v/>
      </c>
      <c r="AD151" s="5">
        <f>IF(A151="","",IF(OR(AK151&lt;&gt;"Qualificado",Y151&lt;&gt;"Verificado",U151="",Z151="",AA151=""),"Pendente",IF(AND(Z151&gt;=7,AA151&gt;=6),"Alta",IF(AND(Z151&gt;=5,AA151&gt;=4),"Média","Baixa"))))</f>
        <v/>
      </c>
    </row>
    <row r="152" spans="19:30">
      <c r="S152" s="5">
        <f>IF(A152="","",IF(H152="Fechado","Fechado",IF(H152="Perdido","Perdido",IF(K152="","Sem data",IF(K152&lt;TODAY(),"Atrasado",IF(K152=TODAY(),"Hoje","Agendado")))))))</f>
        <v/>
      </c>
      <c r="AD152" s="5">
        <f>IF(A152="","",IF(OR(AK152&lt;&gt;"Qualificado",Y152&lt;&gt;"Verificado",U152="",Z152="",AA152=""),"Pendente",IF(AND(Z152&gt;=7,AA152&gt;=6),"Alta",IF(AND(Z152&gt;=5,AA152&gt;=4),"Média","Baixa"))))</f>
        <v/>
      </c>
    </row>
    <row r="153" spans="19:30">
      <c r="S153" s="5">
        <f>IF(A153="","",IF(H153="Fechado","Fechado",IF(H153="Perdido","Perdido",IF(K153="","Sem data",IF(K153&lt;TODAY(),"Atrasado",IF(K153=TODAY(),"Hoje","Agendado")))))))</f>
        <v/>
      </c>
      <c r="AD153" s="5">
        <f>IF(A153="","",IF(OR(AK153&lt;&gt;"Qualificado",Y153&lt;&gt;"Verificado",U153="",Z153="",AA153=""),"Pendente",IF(AND(Z153&gt;=7,AA153&gt;=6),"Alta",IF(AND(Z153&gt;=5,AA153&gt;=4),"Média","Baixa"))))</f>
        <v/>
      </c>
    </row>
    <row r="154" spans="19:30">
      <c r="S154" s="5">
        <f>IF(A154="","",IF(H154="Fechado","Fechado",IF(H154="Perdido","Perdido",IF(K154="","Sem data",IF(K154&lt;TODAY(),"Atrasado",IF(K154=TODAY(),"Hoje","Agendado")))))))</f>
        <v/>
      </c>
      <c r="AD154" s="5">
        <f>IF(A154="","",IF(OR(AK154&lt;&gt;"Qualificado",Y154&lt;&gt;"Verificado",U154="",Z154="",AA154=""),"Pendente",IF(AND(Z154&gt;=7,AA154&gt;=6),"Alta",IF(AND(Z154&gt;=5,AA154&gt;=4),"Média","Baixa"))))</f>
        <v/>
      </c>
    </row>
    <row r="155" spans="19:30">
      <c r="S155" s="5">
        <f>IF(A155="","",IF(H155="Fechado","Fechado",IF(H155="Perdido","Perdido",IF(K155="","Sem data",IF(K155&lt;TODAY(),"Atrasado",IF(K155=TODAY(),"Hoje","Agendado")))))))</f>
        <v/>
      </c>
      <c r="AD155" s="5">
        <f>IF(A155="","",IF(OR(AK155&lt;&gt;"Qualificado",Y155&lt;&gt;"Verificado",U155="",Z155="",AA155=""),"Pendente",IF(AND(Z155&gt;=7,AA155&gt;=6),"Alta",IF(AND(Z155&gt;=5,AA155&gt;=4),"Média","Baixa"))))</f>
        <v/>
      </c>
    </row>
    <row r="156" spans="19:30">
      <c r="S156" s="5">
        <f>IF(A156="","",IF(H156="Fechado","Fechado",IF(H156="Perdido","Perdido",IF(K156="","Sem data",IF(K156&lt;TODAY(),"Atrasado",IF(K156=TODAY(),"Hoje","Agendado")))))))</f>
        <v/>
      </c>
      <c r="AD156" s="5">
        <f>IF(A156="","",IF(OR(AK156&lt;&gt;"Qualificado",Y156&lt;&gt;"Verificado",U156="",Z156="",AA156=""),"Pendente",IF(AND(Z156&gt;=7,AA156&gt;=6),"Alta",IF(AND(Z156&gt;=5,AA156&gt;=4),"Média","Baixa"))))</f>
        <v/>
      </c>
    </row>
    <row r="157" spans="19:30">
      <c r="S157" s="5">
        <f>IF(A157="","",IF(H157="Fechado","Fechado",IF(H157="Perdido","Perdido",IF(K157="","Sem data",IF(K157&lt;TODAY(),"Atrasado",IF(K157=TODAY(),"Hoje","Agendado")))))))</f>
        <v/>
      </c>
      <c r="AD157" s="5">
        <f>IF(A157="","",IF(OR(AK157&lt;&gt;"Qualificado",Y157&lt;&gt;"Verificado",U157="",Z157="",AA157=""),"Pendente",IF(AND(Z157&gt;=7,AA157&gt;=6),"Alta",IF(AND(Z157&gt;=5,AA157&gt;=4),"Média","Baixa"))))</f>
        <v/>
      </c>
    </row>
    <row r="158" spans="19:30">
      <c r="S158" s="5">
        <f>IF(A158="","",IF(H158="Fechado","Fechado",IF(H158="Perdido","Perdido",IF(K158="","Sem data",IF(K158&lt;TODAY(),"Atrasado",IF(K158=TODAY(),"Hoje","Agendado")))))))</f>
        <v/>
      </c>
      <c r="AD158" s="5">
        <f>IF(A158="","",IF(OR(AK158&lt;&gt;"Qualificado",Y158&lt;&gt;"Verificado",U158="",Z158="",AA158=""),"Pendente",IF(AND(Z158&gt;=7,AA158&gt;=6),"Alta",IF(AND(Z158&gt;=5,AA158&gt;=4),"Média","Baixa"))))</f>
        <v/>
      </c>
    </row>
    <row r="159" spans="19:30">
      <c r="S159" s="5">
        <f>IF(A159="","",IF(H159="Fechado","Fechado",IF(H159="Perdido","Perdido",IF(K159="","Sem data",IF(K159&lt;TODAY(),"Atrasado",IF(K159=TODAY(),"Hoje","Agendado")))))))</f>
        <v/>
      </c>
      <c r="AD159" s="5">
        <f>IF(A159="","",IF(OR(AK159&lt;&gt;"Qualificado",Y159&lt;&gt;"Verificado",U159="",Z159="",AA159=""),"Pendente",IF(AND(Z159&gt;=7,AA159&gt;=6),"Alta",IF(AND(Z159&gt;=5,AA159&gt;=4),"Média","Baixa"))))</f>
        <v/>
      </c>
    </row>
    <row r="160" spans="19:30">
      <c r="S160" s="5">
        <f>IF(A160="","",IF(H160="Fechado","Fechado",IF(H160="Perdido","Perdido",IF(K160="","Sem data",IF(K160&lt;TODAY(),"Atrasado",IF(K160=TODAY(),"Hoje","Agendado")))))))</f>
        <v/>
      </c>
      <c r="AD160" s="5">
        <f>IF(A160="","",IF(OR(AK160&lt;&gt;"Qualificado",Y160&lt;&gt;"Verificado",U160="",Z160="",AA160=""),"Pendente",IF(AND(Z160&gt;=7,AA160&gt;=6),"Alta",IF(AND(Z160&gt;=5,AA160&gt;=4),"Média","Baixa"))))</f>
        <v/>
      </c>
    </row>
    <row r="161" spans="19:30">
      <c r="S161" s="5">
        <f>IF(A161="","",IF(H161="Fechado","Fechado",IF(H161="Perdido","Perdido",IF(K161="","Sem data",IF(K161&lt;TODAY(),"Atrasado",IF(K161=TODAY(),"Hoje","Agendado")))))))</f>
        <v/>
      </c>
      <c r="AD161" s="5">
        <f>IF(A161="","",IF(OR(AK161&lt;&gt;"Qualificado",Y161&lt;&gt;"Verificado",U161="",Z161="",AA161=""),"Pendente",IF(AND(Z161&gt;=7,AA161&gt;=6),"Alta",IF(AND(Z161&gt;=5,AA161&gt;=4),"Média","Baixa"))))</f>
        <v/>
      </c>
    </row>
    <row r="162" spans="19:30">
      <c r="S162" s="5">
        <f>IF(A162="","",IF(H162="Fechado","Fechado",IF(H162="Perdido","Perdido",IF(K162="","Sem data",IF(K162&lt;TODAY(),"Atrasado",IF(K162=TODAY(),"Hoje","Agendado")))))))</f>
        <v/>
      </c>
      <c r="AD162" s="5">
        <f>IF(A162="","",IF(OR(AK162&lt;&gt;"Qualificado",Y162&lt;&gt;"Verificado",U162="",Z162="",AA162=""),"Pendente",IF(AND(Z162&gt;=7,AA162&gt;=6),"Alta",IF(AND(Z162&gt;=5,AA162&gt;=4),"Média","Baixa"))))</f>
        <v/>
      </c>
    </row>
    <row r="163" spans="19:30">
      <c r="S163" s="5">
        <f>IF(A163="","",IF(H163="Fechado","Fechado",IF(H163="Perdido","Perdido",IF(K163="","Sem data",IF(K163&lt;TODAY(),"Atrasado",IF(K163=TODAY(),"Hoje","Agendado")))))))</f>
        <v/>
      </c>
      <c r="AD163" s="5">
        <f>IF(A163="","",IF(OR(AK163&lt;&gt;"Qualificado",Y163&lt;&gt;"Verificado",U163="",Z163="",AA163=""),"Pendente",IF(AND(Z163&gt;=7,AA163&gt;=6),"Alta",IF(AND(Z163&gt;=5,AA163&gt;=4),"Média","Baixa"))))</f>
        <v/>
      </c>
    </row>
    <row r="164" spans="19:30">
      <c r="S164" s="5">
        <f>IF(A164="","",IF(H164="Fechado","Fechado",IF(H164="Perdido","Perdido",IF(K164="","Sem data",IF(K164&lt;TODAY(),"Atrasado",IF(K164=TODAY(),"Hoje","Agendado")))))))</f>
        <v/>
      </c>
      <c r="AD164" s="5">
        <f>IF(A164="","",IF(OR(AK164&lt;&gt;"Qualificado",Y164&lt;&gt;"Verificado",U164="",Z164="",AA164=""),"Pendente",IF(AND(Z164&gt;=7,AA164&gt;=6),"Alta",IF(AND(Z164&gt;=5,AA164&gt;=4),"Média","Baixa"))))</f>
        <v/>
      </c>
    </row>
    <row r="165" spans="19:30">
      <c r="S165" s="5">
        <f>IF(A165="","",IF(H165="Fechado","Fechado",IF(H165="Perdido","Perdido",IF(K165="","Sem data",IF(K165&lt;TODAY(),"Atrasado",IF(K165=TODAY(),"Hoje","Agendado")))))))</f>
        <v/>
      </c>
      <c r="AD165" s="5">
        <f>IF(A165="","",IF(OR(AK165&lt;&gt;"Qualificado",Y165&lt;&gt;"Verificado",U165="",Z165="",AA165=""),"Pendente",IF(AND(Z165&gt;=7,AA165&gt;=6),"Alta",IF(AND(Z165&gt;=5,AA165&gt;=4),"Média","Baixa"))))</f>
        <v/>
      </c>
    </row>
    <row r="166" spans="19:30">
      <c r="S166" s="5">
        <f>IF(A166="","",IF(H166="Fechado","Fechado",IF(H166="Perdido","Perdido",IF(K166="","Sem data",IF(K166&lt;TODAY(),"Atrasado",IF(K166=TODAY(),"Hoje","Agendado")))))))</f>
        <v/>
      </c>
      <c r="AD166" s="5">
        <f>IF(A166="","",IF(OR(AK166&lt;&gt;"Qualificado",Y166&lt;&gt;"Verificado",U166="",Z166="",AA166=""),"Pendente",IF(AND(Z166&gt;=7,AA166&gt;=6),"Alta",IF(AND(Z166&gt;=5,AA166&gt;=4),"Média","Baixa"))))</f>
        <v/>
      </c>
    </row>
    <row r="167" spans="19:30">
      <c r="S167" s="5">
        <f>IF(A167="","",IF(H167="Fechado","Fechado",IF(H167="Perdido","Perdido",IF(K167="","Sem data",IF(K167&lt;TODAY(),"Atrasado",IF(K167=TODAY(),"Hoje","Agendado")))))))</f>
        <v/>
      </c>
      <c r="AD167" s="5">
        <f>IF(A167="","",IF(OR(AK167&lt;&gt;"Qualificado",Y167&lt;&gt;"Verificado",U167="",Z167="",AA167=""),"Pendente",IF(AND(Z167&gt;=7,AA167&gt;=6),"Alta",IF(AND(Z167&gt;=5,AA167&gt;=4),"Média","Baixa"))))</f>
        <v/>
      </c>
    </row>
    <row r="168" spans="19:30">
      <c r="S168" s="5">
        <f>IF(A168="","",IF(H168="Fechado","Fechado",IF(H168="Perdido","Perdido",IF(K168="","Sem data",IF(K168&lt;TODAY(),"Atrasado",IF(K168=TODAY(),"Hoje","Agendado")))))))</f>
        <v/>
      </c>
      <c r="AD168" s="5">
        <f>IF(A168="","",IF(OR(AK168&lt;&gt;"Qualificado",Y168&lt;&gt;"Verificado",U168="",Z168="",AA168=""),"Pendente",IF(AND(Z168&gt;=7,AA168&gt;=6),"Alta",IF(AND(Z168&gt;=5,AA168&gt;=4),"Média","Baixa"))))</f>
        <v/>
      </c>
    </row>
    <row r="169" spans="19:30">
      <c r="S169" s="5">
        <f>IF(A169="","",IF(H169="Fechado","Fechado",IF(H169="Perdido","Perdido",IF(K169="","Sem data",IF(K169&lt;TODAY(),"Atrasado",IF(K169=TODAY(),"Hoje","Agendado")))))))</f>
        <v/>
      </c>
      <c r="AD169" s="5">
        <f>IF(A169="","",IF(OR(AK169&lt;&gt;"Qualificado",Y169&lt;&gt;"Verificado",U169="",Z169="",AA169=""),"Pendente",IF(AND(Z169&gt;=7,AA169&gt;=6),"Alta",IF(AND(Z169&gt;=5,AA169&gt;=4),"Média","Baixa"))))</f>
        <v/>
      </c>
    </row>
    <row r="170" spans="19:30">
      <c r="S170" s="5">
        <f>IF(A170="","",IF(H170="Fechado","Fechado",IF(H170="Perdido","Perdido",IF(K170="","Sem data",IF(K170&lt;TODAY(),"Atrasado",IF(K170=TODAY(),"Hoje","Agendado")))))))</f>
        <v/>
      </c>
      <c r="AD170" s="5">
        <f>IF(A170="","",IF(OR(AK170&lt;&gt;"Qualificado",Y170&lt;&gt;"Verificado",U170="",Z170="",AA170=""),"Pendente",IF(AND(Z170&gt;=7,AA170&gt;=6),"Alta",IF(AND(Z170&gt;=5,AA170&gt;=4),"Média","Baixa"))))</f>
        <v/>
      </c>
    </row>
    <row r="171" spans="19:30">
      <c r="S171" s="5">
        <f>IF(A171="","",IF(H171="Fechado","Fechado",IF(H171="Perdido","Perdido",IF(K171="","Sem data",IF(K171&lt;TODAY(),"Atrasado",IF(K171=TODAY(),"Hoje","Agendado")))))))</f>
        <v/>
      </c>
      <c r="AD171" s="5">
        <f>IF(A171="","",IF(OR(AK171&lt;&gt;"Qualificado",Y171&lt;&gt;"Verificado",U171="",Z171="",AA171=""),"Pendente",IF(AND(Z171&gt;=7,AA171&gt;=6),"Alta",IF(AND(Z171&gt;=5,AA171&gt;=4),"Média","Baixa"))))</f>
        <v/>
      </c>
    </row>
    <row r="172" spans="19:30">
      <c r="S172" s="5">
        <f>IF(A172="","",IF(H172="Fechado","Fechado",IF(H172="Perdido","Perdido",IF(K172="","Sem data",IF(K172&lt;TODAY(),"Atrasado",IF(K172=TODAY(),"Hoje","Agendado")))))))</f>
        <v/>
      </c>
      <c r="AD172" s="5">
        <f>IF(A172="","",IF(OR(AK172&lt;&gt;"Qualificado",Y172&lt;&gt;"Verificado",U172="",Z172="",AA172=""),"Pendente",IF(AND(Z172&gt;=7,AA172&gt;=6),"Alta",IF(AND(Z172&gt;=5,AA172&gt;=4),"Média","Baixa"))))</f>
        <v/>
      </c>
    </row>
    <row r="173" spans="19:30">
      <c r="S173" s="5">
        <f>IF(A173="","",IF(H173="Fechado","Fechado",IF(H173="Perdido","Perdido",IF(K173="","Sem data",IF(K173&lt;TODAY(),"Atrasado",IF(K173=TODAY(),"Hoje","Agendado")))))))</f>
        <v/>
      </c>
      <c r="AD173" s="5">
        <f>IF(A173="","",IF(OR(AK173&lt;&gt;"Qualificado",Y173&lt;&gt;"Verificado",U173="",Z173="",AA173=""),"Pendente",IF(AND(Z173&gt;=7,AA173&gt;=6),"Alta",IF(AND(Z173&gt;=5,AA173&gt;=4),"Média","Baixa"))))</f>
        <v/>
      </c>
    </row>
    <row r="174" spans="19:30">
      <c r="S174" s="5">
        <f>IF(A174="","",IF(H174="Fechado","Fechado",IF(H174="Perdido","Perdido",IF(K174="","Sem data",IF(K174&lt;TODAY(),"Atrasado",IF(K174=TODAY(),"Hoje","Agendado")))))))</f>
        <v/>
      </c>
      <c r="AD174" s="5">
        <f>IF(A174="","",IF(OR(AK174&lt;&gt;"Qualificado",Y174&lt;&gt;"Verificado",U174="",Z174="",AA174=""),"Pendente",IF(AND(Z174&gt;=7,AA174&gt;=6),"Alta",IF(AND(Z174&gt;=5,AA174&gt;=4),"Média","Baixa"))))</f>
        <v/>
      </c>
    </row>
    <row r="175" spans="19:30">
      <c r="S175" s="5">
        <f>IF(A175="","",IF(H175="Fechado","Fechado",IF(H175="Perdido","Perdido",IF(K175="","Sem data",IF(K175&lt;TODAY(),"Atrasado",IF(K175=TODAY(),"Hoje","Agendado")))))))</f>
        <v/>
      </c>
      <c r="AD175" s="5">
        <f>IF(A175="","",IF(OR(AK175&lt;&gt;"Qualificado",Y175&lt;&gt;"Verificado",U175="",Z175="",AA175=""),"Pendente",IF(AND(Z175&gt;=7,AA175&gt;=6),"Alta",IF(AND(Z175&gt;=5,AA175&gt;=4),"Média","Baixa"))))</f>
        <v/>
      </c>
    </row>
    <row r="176" spans="19:30">
      <c r="S176" s="5">
        <f>IF(A176="","",IF(H176="Fechado","Fechado",IF(H176="Perdido","Perdido",IF(K176="","Sem data",IF(K176&lt;TODAY(),"Atrasado",IF(K176=TODAY(),"Hoje","Agendado")))))))</f>
        <v/>
      </c>
      <c r="AD176" s="5">
        <f>IF(A176="","",IF(OR(AK176&lt;&gt;"Qualificado",Y176&lt;&gt;"Verificado",U176="",Z176="",AA176=""),"Pendente",IF(AND(Z176&gt;=7,AA176&gt;=6),"Alta",IF(AND(Z176&gt;=5,AA176&gt;=4),"Média","Baixa"))))</f>
        <v/>
      </c>
    </row>
    <row r="177" spans="19:30">
      <c r="S177" s="5">
        <f>IF(A177="","",IF(H177="Fechado","Fechado",IF(H177="Perdido","Perdido",IF(K177="","Sem data",IF(K177&lt;TODAY(),"Atrasado",IF(K177=TODAY(),"Hoje","Agendado")))))))</f>
        <v/>
      </c>
      <c r="AD177" s="5">
        <f>IF(A177="","",IF(OR(AK177&lt;&gt;"Qualificado",Y177&lt;&gt;"Verificado",U177="",Z177="",AA177=""),"Pendente",IF(AND(Z177&gt;=7,AA177&gt;=6),"Alta",IF(AND(Z177&gt;=5,AA177&gt;=4),"Média","Baixa"))))</f>
        <v/>
      </c>
    </row>
    <row r="178" spans="19:30">
      <c r="S178" s="5">
        <f>IF(A178="","",IF(H178="Fechado","Fechado",IF(H178="Perdido","Perdido",IF(K178="","Sem data",IF(K178&lt;TODAY(),"Atrasado",IF(K178=TODAY(),"Hoje","Agendado")))))))</f>
        <v/>
      </c>
      <c r="AD178" s="5">
        <f>IF(A178="","",IF(OR(AK178&lt;&gt;"Qualificado",Y178&lt;&gt;"Verificado",U178="",Z178="",AA178=""),"Pendente",IF(AND(Z178&gt;=7,AA178&gt;=6),"Alta",IF(AND(Z178&gt;=5,AA178&gt;=4),"Média","Baixa"))))</f>
        <v/>
      </c>
    </row>
    <row r="179" spans="19:30">
      <c r="S179" s="5">
        <f>IF(A179="","",IF(H179="Fechado","Fechado",IF(H179="Perdido","Perdido",IF(K179="","Sem data",IF(K179&lt;TODAY(),"Atrasado",IF(K179=TODAY(),"Hoje","Agendado")))))))</f>
        <v/>
      </c>
      <c r="AD179" s="5">
        <f>IF(A179="","",IF(OR(AK179&lt;&gt;"Qualificado",Y179&lt;&gt;"Verificado",U179="",Z179="",AA179=""),"Pendente",IF(AND(Z179&gt;=7,AA179&gt;=6),"Alta",IF(AND(Z179&gt;=5,AA179&gt;=4),"Média","Baixa"))))</f>
        <v/>
      </c>
    </row>
    <row r="180" spans="19:30">
      <c r="S180" s="5">
        <f>IF(A180="","",IF(H180="Fechado","Fechado",IF(H180="Perdido","Perdido",IF(K180="","Sem data",IF(K180&lt;TODAY(),"Atrasado",IF(K180=TODAY(),"Hoje","Agendado")))))))</f>
        <v/>
      </c>
      <c r="AD180" s="5">
        <f>IF(A180="","",IF(OR(AK180&lt;&gt;"Qualificado",Y180&lt;&gt;"Verificado",U180="",Z180="",AA180=""),"Pendente",IF(AND(Z180&gt;=7,AA180&gt;=6),"Alta",IF(AND(Z180&gt;=5,AA180&gt;=4),"Média","Baixa"))))</f>
        <v/>
      </c>
    </row>
    <row r="181" spans="19:30">
      <c r="S181" s="5">
        <f>IF(A181="","",IF(H181="Fechado","Fechado",IF(H181="Perdido","Perdido",IF(K181="","Sem data",IF(K181&lt;TODAY(),"Atrasado",IF(K181=TODAY(),"Hoje","Agendado")))))))</f>
        <v/>
      </c>
      <c r="AD181" s="5">
        <f>IF(A181="","",IF(OR(AK181&lt;&gt;"Qualificado",Y181&lt;&gt;"Verificado",U181="",Z181="",AA181=""),"Pendente",IF(AND(Z181&gt;=7,AA181&gt;=6),"Alta",IF(AND(Z181&gt;=5,AA181&gt;=4),"Média","Baixa"))))</f>
        <v/>
      </c>
    </row>
    <row r="182" spans="19:30">
      <c r="S182" s="5">
        <f>IF(A182="","",IF(H182="Fechado","Fechado",IF(H182="Perdido","Perdido",IF(K182="","Sem data",IF(K182&lt;TODAY(),"Atrasado",IF(K182=TODAY(),"Hoje","Agendado")))))))</f>
        <v/>
      </c>
      <c r="AD182" s="5">
        <f>IF(A182="","",IF(OR(AK182&lt;&gt;"Qualificado",Y182&lt;&gt;"Verificado",U182="",Z182="",AA182=""),"Pendente",IF(AND(Z182&gt;=7,AA182&gt;=6),"Alta",IF(AND(Z182&gt;=5,AA182&gt;=4),"Média","Baixa"))))</f>
        <v/>
      </c>
    </row>
    <row r="183" spans="19:30">
      <c r="S183" s="5">
        <f>IF(A183="","",IF(H183="Fechado","Fechado",IF(H183="Perdido","Perdido",IF(K183="","Sem data",IF(K183&lt;TODAY(),"Atrasado",IF(K183=TODAY(),"Hoje","Agendado")))))))</f>
        <v/>
      </c>
      <c r="AD183" s="5">
        <f>IF(A183="","",IF(OR(AK183&lt;&gt;"Qualificado",Y183&lt;&gt;"Verificado",U183="",Z183="",AA183=""),"Pendente",IF(AND(Z183&gt;=7,AA183&gt;=6),"Alta",IF(AND(Z183&gt;=5,AA183&gt;=4),"Média","Baixa"))))</f>
        <v/>
      </c>
    </row>
    <row r="184" spans="19:30">
      <c r="S184" s="5">
        <f>IF(A184="","",IF(H184="Fechado","Fechado",IF(H184="Perdido","Perdido",IF(K184="","Sem data",IF(K184&lt;TODAY(),"Atrasado",IF(K184=TODAY(),"Hoje","Agendado")))))))</f>
        <v/>
      </c>
      <c r="AD184" s="5">
        <f>IF(A184="","",IF(OR(AK184&lt;&gt;"Qualificado",Y184&lt;&gt;"Verificado",U184="",Z184="",AA184=""),"Pendente",IF(AND(Z184&gt;=7,AA184&gt;=6),"Alta",IF(AND(Z184&gt;=5,AA184&gt;=4),"Média","Baixa"))))</f>
        <v/>
      </c>
    </row>
    <row r="185" spans="19:30">
      <c r="S185" s="5">
        <f>IF(A185="","",IF(H185="Fechado","Fechado",IF(H185="Perdido","Perdido",IF(K185="","Sem data",IF(K185&lt;TODAY(),"Atrasado",IF(K185=TODAY(),"Hoje","Agendado")))))))</f>
        <v/>
      </c>
      <c r="AD185" s="5">
        <f>IF(A185="","",IF(OR(AK185&lt;&gt;"Qualificado",Y185&lt;&gt;"Verificado",U185="",Z185="",AA185=""),"Pendente",IF(AND(Z185&gt;=7,AA185&gt;=6),"Alta",IF(AND(Z185&gt;=5,AA185&gt;=4),"Média","Baixa"))))</f>
        <v/>
      </c>
    </row>
    <row r="186" spans="19:30">
      <c r="S186" s="5">
        <f>IF(A186="","",IF(H186="Fechado","Fechado",IF(H186="Perdido","Perdido",IF(K186="","Sem data",IF(K186&lt;TODAY(),"Atrasado",IF(K186=TODAY(),"Hoje","Agendado")))))))</f>
        <v/>
      </c>
      <c r="AD186" s="5">
        <f>IF(A186="","",IF(OR(AK186&lt;&gt;"Qualificado",Y186&lt;&gt;"Verificado",U186="",Z186="",AA186=""),"Pendente",IF(AND(Z186&gt;=7,AA186&gt;=6),"Alta",IF(AND(Z186&gt;=5,AA186&gt;=4),"Média","Baixa"))))</f>
        <v/>
      </c>
    </row>
    <row r="187" spans="19:30">
      <c r="S187" s="5">
        <f>IF(A187="","",IF(H187="Fechado","Fechado",IF(H187="Perdido","Perdido",IF(K187="","Sem data",IF(K187&lt;TODAY(),"Atrasado",IF(K187=TODAY(),"Hoje","Agendado")))))))</f>
        <v/>
      </c>
      <c r="AD187" s="5">
        <f>IF(A187="","",IF(OR(AK187&lt;&gt;"Qualificado",Y187&lt;&gt;"Verificado",U187="",Z187="",AA187=""),"Pendente",IF(AND(Z187&gt;=7,AA187&gt;=6),"Alta",IF(AND(Z187&gt;=5,AA187&gt;=4),"Média","Baixa"))))</f>
        <v/>
      </c>
    </row>
    <row r="188" spans="19:30">
      <c r="S188" s="5">
        <f>IF(A188="","",IF(H188="Fechado","Fechado",IF(H188="Perdido","Perdido",IF(K188="","Sem data",IF(K188&lt;TODAY(),"Atrasado",IF(K188=TODAY(),"Hoje","Agendado")))))))</f>
        <v/>
      </c>
      <c r="AD188" s="5">
        <f>IF(A188="","",IF(OR(AK188&lt;&gt;"Qualificado",Y188&lt;&gt;"Verificado",U188="",Z188="",AA188=""),"Pendente",IF(AND(Z188&gt;=7,AA188&gt;=6),"Alta",IF(AND(Z188&gt;=5,AA188&gt;=4),"Média","Baixa"))))</f>
        <v/>
      </c>
    </row>
    <row r="189" spans="19:30">
      <c r="S189" s="5">
        <f>IF(A189="","",IF(H189="Fechado","Fechado",IF(H189="Perdido","Perdido",IF(K189="","Sem data",IF(K189&lt;TODAY(),"Atrasado",IF(K189=TODAY(),"Hoje","Agendado")))))))</f>
        <v/>
      </c>
      <c r="AD189" s="5">
        <f>IF(A189="","",IF(OR(AK189&lt;&gt;"Qualificado",Y189&lt;&gt;"Verificado",U189="",Z189="",AA189=""),"Pendente",IF(AND(Z189&gt;=7,AA189&gt;=6),"Alta",IF(AND(Z189&gt;=5,AA189&gt;=4),"Média","Baixa"))))</f>
        <v/>
      </c>
    </row>
    <row r="190" spans="19:30">
      <c r="S190" s="5">
        <f>IF(A190="","",IF(H190="Fechado","Fechado",IF(H190="Perdido","Perdido",IF(K190="","Sem data",IF(K190&lt;TODAY(),"Atrasado",IF(K190=TODAY(),"Hoje","Agendado")))))))</f>
        <v/>
      </c>
      <c r="AD190" s="5">
        <f>IF(A190="","",IF(OR(AK190&lt;&gt;"Qualificado",Y190&lt;&gt;"Verificado",U190="",Z190="",AA190=""),"Pendente",IF(AND(Z190&gt;=7,AA190&gt;=6),"Alta",IF(AND(Z190&gt;=5,AA190&gt;=4),"Média","Baixa"))))</f>
        <v/>
      </c>
    </row>
    <row r="191" spans="19:30">
      <c r="S191" s="5">
        <f>IF(A191="","",IF(H191="Fechado","Fechado",IF(H191="Perdido","Perdido",IF(K191="","Sem data",IF(K191&lt;TODAY(),"Atrasado",IF(K191=TODAY(),"Hoje","Agendado")))))))</f>
        <v/>
      </c>
      <c r="AD191" s="5">
        <f>IF(A191="","",IF(OR(AK191&lt;&gt;"Qualificado",Y191&lt;&gt;"Verificado",U191="",Z191="",AA191=""),"Pendente",IF(AND(Z191&gt;=7,AA191&gt;=6),"Alta",IF(AND(Z191&gt;=5,AA191&gt;=4),"Média","Baixa"))))</f>
        <v/>
      </c>
    </row>
    <row r="192" spans="19:30">
      <c r="S192" s="5">
        <f>IF(A192="","",IF(H192="Fechado","Fechado",IF(H192="Perdido","Perdido",IF(K192="","Sem data",IF(K192&lt;TODAY(),"Atrasado",IF(K192=TODAY(),"Hoje","Agendado")))))))</f>
        <v/>
      </c>
      <c r="AD192" s="5">
        <f>IF(A192="","",IF(OR(AK192&lt;&gt;"Qualificado",Y192&lt;&gt;"Verificado",U192="",Z192="",AA192=""),"Pendente",IF(AND(Z192&gt;=7,AA192&gt;=6),"Alta",IF(AND(Z192&gt;=5,AA192&gt;=4),"Média","Baixa"))))</f>
        <v/>
      </c>
    </row>
    <row r="193" spans="19:30">
      <c r="S193" s="5">
        <f>IF(A193="","",IF(H193="Fechado","Fechado",IF(H193="Perdido","Perdido",IF(K193="","Sem data",IF(K193&lt;TODAY(),"Atrasado",IF(K193=TODAY(),"Hoje","Agendado")))))))</f>
        <v/>
      </c>
      <c r="AD193" s="5">
        <f>IF(A193="","",IF(OR(AK193&lt;&gt;"Qualificado",Y193&lt;&gt;"Verificado",U193="",Z193="",AA193=""),"Pendente",IF(AND(Z193&gt;=7,AA193&gt;=6),"Alta",IF(AND(Z193&gt;=5,AA193&gt;=4),"Média","Baixa"))))</f>
        <v/>
      </c>
    </row>
    <row r="194" spans="19:30">
      <c r="S194" s="5">
        <f>IF(A194="","",IF(H194="Fechado","Fechado",IF(H194="Perdido","Perdido",IF(K194="","Sem data",IF(K194&lt;TODAY(),"Atrasado",IF(K194=TODAY(),"Hoje","Agendado")))))))</f>
        <v/>
      </c>
      <c r="AD194" s="5">
        <f>IF(A194="","",IF(OR(AK194&lt;&gt;"Qualificado",Y194&lt;&gt;"Verificado",U194="",Z194="",AA194=""),"Pendente",IF(AND(Z194&gt;=7,AA194&gt;=6),"Alta",IF(AND(Z194&gt;=5,AA194&gt;=4),"Média","Baixa"))))</f>
        <v/>
      </c>
    </row>
    <row r="195" spans="19:30">
      <c r="S195" s="5">
        <f>IF(A195="","",IF(H195="Fechado","Fechado",IF(H195="Perdido","Perdido",IF(K195="","Sem data",IF(K195&lt;TODAY(),"Atrasado",IF(K195=TODAY(),"Hoje","Agendado")))))))</f>
        <v/>
      </c>
      <c r="AD195" s="5">
        <f>IF(A195="","",IF(OR(AK195&lt;&gt;"Qualificado",Y195&lt;&gt;"Verificado",U195="",Z195="",AA195=""),"Pendente",IF(AND(Z195&gt;=7,AA195&gt;=6),"Alta",IF(AND(Z195&gt;=5,AA195&gt;=4),"Média","Baixa"))))</f>
        <v/>
      </c>
    </row>
    <row r="196" spans="19:30">
      <c r="S196" s="5">
        <f>IF(A196="","",IF(H196="Fechado","Fechado",IF(H196="Perdido","Perdido",IF(K196="","Sem data",IF(K196&lt;TODAY(),"Atrasado",IF(K196=TODAY(),"Hoje","Agendado")))))))</f>
        <v/>
      </c>
      <c r="AD196" s="5">
        <f>IF(A196="","",IF(OR(AK196&lt;&gt;"Qualificado",Y196&lt;&gt;"Verificado",U196="",Z196="",AA196=""),"Pendente",IF(AND(Z196&gt;=7,AA196&gt;=6),"Alta",IF(AND(Z196&gt;=5,AA196&gt;=4),"Média","Baixa"))))</f>
        <v/>
      </c>
    </row>
    <row r="197" spans="19:30">
      <c r="S197" s="5">
        <f>IF(A197="","",IF(H197="Fechado","Fechado",IF(H197="Perdido","Perdido",IF(K197="","Sem data",IF(K197&lt;TODAY(),"Atrasado",IF(K197=TODAY(),"Hoje","Agendado")))))))</f>
        <v/>
      </c>
      <c r="AD197" s="5">
        <f>IF(A197="","",IF(OR(AK197&lt;&gt;"Qualificado",Y197&lt;&gt;"Verificado",U197="",Z197="",AA197=""),"Pendente",IF(AND(Z197&gt;=7,AA197&gt;=6),"Alta",IF(AND(Z197&gt;=5,AA197&gt;=4),"Média","Baixa"))))</f>
        <v/>
      </c>
    </row>
    <row r="198" spans="19:30">
      <c r="S198" s="5">
        <f>IF(A198="","",IF(H198="Fechado","Fechado",IF(H198="Perdido","Perdido",IF(K198="","Sem data",IF(K198&lt;TODAY(),"Atrasado",IF(K198=TODAY(),"Hoje","Agendado")))))))</f>
        <v/>
      </c>
      <c r="AD198" s="5">
        <f>IF(A198="","",IF(OR(AK198&lt;&gt;"Qualificado",Y198&lt;&gt;"Verificado",U198="",Z198="",AA198=""),"Pendente",IF(AND(Z198&gt;=7,AA198&gt;=6),"Alta",IF(AND(Z198&gt;=5,AA198&gt;=4),"Média","Baixa"))))</f>
        <v/>
      </c>
    </row>
    <row r="199" spans="19:30">
      <c r="S199" s="5">
        <f>IF(A199="","",IF(H199="Fechado","Fechado",IF(H199="Perdido","Perdido",IF(K199="","Sem data",IF(K199&lt;TODAY(),"Atrasado",IF(K199=TODAY(),"Hoje","Agendado")))))))</f>
        <v/>
      </c>
      <c r="AD199" s="5">
        <f>IF(A199="","",IF(OR(AK199&lt;&gt;"Qualificado",Y199&lt;&gt;"Verificado",U199="",Z199="",AA199=""),"Pendente",IF(AND(Z199&gt;=7,AA199&gt;=6),"Alta",IF(AND(Z199&gt;=5,AA199&gt;=4),"Média","Baixa"))))</f>
        <v/>
      </c>
    </row>
    <row r="200" spans="19:30">
      <c r="S200" s="5">
        <f>IF(A200="","",IF(H200="Fechado","Fechado",IF(H200="Perdido","Perdido",IF(K200="","Sem data",IF(K200&lt;TODAY(),"Atrasado",IF(K200=TODAY(),"Hoje","Agendado")))))))</f>
        <v/>
      </c>
      <c r="AD200" s="5">
        <f>IF(A200="","",IF(OR(AK200&lt;&gt;"Qualificado",Y200&lt;&gt;"Verificado",U200="",Z200="",AA200=""),"Pendente",IF(AND(Z200&gt;=7,AA200&gt;=6),"Alta",IF(AND(Z200&gt;=5,AA200&gt;=4),"Média","Baixa"))))</f>
        <v/>
      </c>
    </row>
    <row r="201" spans="19:30">
      <c r="S201" s="5">
        <f>IF(A201="","",IF(H201="Fechado","Fechado",IF(H201="Perdido","Perdido",IF(K201="","Sem data",IF(K201&lt;TODAY(),"Atrasado",IF(K201=TODAY(),"Hoje","Agendado")))))))</f>
        <v/>
      </c>
      <c r="AD201" s="5">
        <f>IF(A201="","",IF(OR(AK201&lt;&gt;"Qualificado",Y201&lt;&gt;"Verificado",U201="",Z201="",AA201=""),"Pendente",IF(AND(Z201&gt;=7,AA201&gt;=6),"Alta",IF(AND(Z201&gt;=5,AA201&gt;=4),"Média","Baixa"))))</f>
        <v/>
      </c>
    </row>
    <row r="202" spans="19:30">
      <c r="S202" s="5">
        <f>IF(A202="","",IF(H202="Fechado","Fechado",IF(H202="Perdido","Perdido",IF(K202="","Sem data",IF(K202&lt;TODAY(),"Atrasado",IF(K202=TODAY(),"Hoje","Agendado")))))))</f>
        <v/>
      </c>
      <c r="AD202" s="5">
        <f>IF(A202="","",IF(OR(AK202&lt;&gt;"Qualificado",Y202&lt;&gt;"Verificado",U202="",Z202="",AA202=""),"Pendente",IF(AND(Z202&gt;=7,AA202&gt;=6),"Alta",IF(AND(Z202&gt;=5,AA202&gt;=4),"Média","Baixa"))))</f>
        <v/>
      </c>
    </row>
    <row r="203" spans="19:30">
      <c r="S203" s="5">
        <f>IF(A203="","",IF(H203="Fechado","Fechado",IF(H203="Perdido","Perdido",IF(K203="","Sem data",IF(K203&lt;TODAY(),"Atrasado",IF(K203=TODAY(),"Hoje","Agendado")))))))</f>
        <v/>
      </c>
      <c r="AD203" s="5">
        <f>IF(A203="","",IF(OR(AK203&lt;&gt;"Qualificado",Y203&lt;&gt;"Verificado",U203="",Z203="",AA203=""),"Pendente",IF(AND(Z203&gt;=7,AA203&gt;=6),"Alta",IF(AND(Z203&gt;=5,AA203&gt;=4),"Média","Baixa"))))</f>
        <v/>
      </c>
    </row>
    <row r="204" spans="19:30">
      <c r="S204" s="5">
        <f>IF(A204="","",IF(H204="Fechado","Fechado",IF(H204="Perdido","Perdido",IF(K204="","Sem data",IF(K204&lt;TODAY(),"Atrasado",IF(K204=TODAY(),"Hoje","Agendado")))))))</f>
        <v/>
      </c>
      <c r="AD204" s="5">
        <f>IF(A204="","",IF(OR(AK204&lt;&gt;"Qualificado",Y204&lt;&gt;"Verificado",U204="",Z204="",AA204=""),"Pendente",IF(AND(Z204&gt;=7,AA204&gt;=6),"Alta",IF(AND(Z204&gt;=5,AA204&gt;=4),"Média","Baixa"))))</f>
        <v/>
      </c>
    </row>
  </sheetData>
  <autoFilter ref="A4:AL204"/>
  <mergeCells count="2">
    <mergeCell ref="A1:AL1"/>
    <mergeCell ref="A2:AL2"/>
  </mergeCells>
  <conditionalFormatting sqref="AD5:AD204">
    <cfRule type="containsText" dxfId="0" priority="1" operator="containsText" text="Pendente">
      <formula>NOT(ISERROR(SEARCH("Pendente",AD5)))</formula>
    </cfRule>
  </conditionalFormatting>
  <dataValidations count="6">
    <dataValidation type="list" allowBlank="1" showInputMessage="1" showErrorMessage="1" sqref="H5:H204">
      <formula1>Etapas</formula1>
    </dataValidation>
    <dataValidation type="list" allowBlank="1" showInputMessage="1" showErrorMessage="1" sqref="AK5:AK204">
      <formula1>"Qualificado,Pendente,Descartado"</formula1>
    </dataValidation>
    <dataValidation type="list" allowBlank="1" showInputMessage="1" showErrorMessage="1" sqref="Y5:Y204">
      <formula1>"Verificado,Pendente,Descartado"</formula1>
    </dataValidation>
    <dataValidation type="list" allowBlank="1" showInputMessage="1" showErrorMessage="1" sqref="M5:M204">
      <formula1>"A confirmar,Autorizado,Não contatar"</formula1>
    </dataValidation>
    <dataValidation type="whole" allowBlank="1" showInputMessage="1" showErrorMessage="1" sqref="Z5:Z204">
      <formula1>0</formula1>
      <formula2>10</formula2>
    </dataValidation>
    <dataValidation type="whole" allowBlank="1" showInputMessage="1" showErrorMessage="1" sqref="AA5:AA204">
      <formula1>0</formula1>
      <formula2>10</formula2>
    </dataValidation>
  </dataValidations>
  <hyperlinks>
    <hyperlink ref="F5" r:id="rId1"/>
    <hyperlink ref="V5" r:id="rId2"/>
    <hyperlink ref="W5" r:id="rId3"/>
    <hyperlink ref="F6" r:id="rId4"/>
    <hyperlink ref="V6" r:id="rId5"/>
    <hyperlink ref="W6" r:id="rId6"/>
    <hyperlink ref="AH6" r:id="rId7"/>
    <hyperlink ref="F7" r:id="rId8"/>
    <hyperlink ref="V7" r:id="rId9"/>
    <hyperlink ref="W7" r:id="rId10"/>
    <hyperlink ref="AH7" r:id="rId11"/>
    <hyperlink ref="F8" r:id="rId12"/>
    <hyperlink ref="V8" r:id="rId13"/>
    <hyperlink ref="W8" r:id="rId14"/>
    <hyperlink ref="F9" r:id="rId15"/>
    <hyperlink ref="V9" r:id="rId16"/>
    <hyperlink ref="W9" r:id="rId17"/>
    <hyperlink ref="AH9" r:id="rId18"/>
    <hyperlink ref="F10" r:id="rId19"/>
    <hyperlink ref="V10" r:id="rId20"/>
    <hyperlink ref="W10" r:id="rId21"/>
    <hyperlink ref="AH10" r:id="rId22"/>
    <hyperlink ref="F11" r:id="rId23"/>
    <hyperlink ref="V11" r:id="rId24"/>
    <hyperlink ref="W11" r:id="rId25"/>
    <hyperlink ref="F12" r:id="rId26"/>
    <hyperlink ref="V12" r:id="rId27"/>
    <hyperlink ref="W12" r:id="rId28"/>
    <hyperlink ref="AH12" r:id="rId29"/>
    <hyperlink ref="F13" r:id="rId30"/>
    <hyperlink ref="V13" r:id="rId31"/>
    <hyperlink ref="W13" r:id="rId32"/>
    <hyperlink ref="AH13" r:id="rId33"/>
    <hyperlink ref="F14" r:id="rId34"/>
    <hyperlink ref="V14" r:id="rId35"/>
    <hyperlink ref="W14" r:id="rId36"/>
    <hyperlink ref="W15" r:id="rId37"/>
    <hyperlink ref="AH15" r:id="rId38"/>
    <hyperlink ref="W16" r:id="rId39"/>
    <hyperlink ref="AH16" r:id="rId40"/>
    <hyperlink ref="F17" r:id="rId41"/>
    <hyperlink ref="AH17" r:id="rId42"/>
  </hyperlink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3E38"/>
    <pageSetUpPr fitToPage="1"/>
  </sheetPr>
  <dimension ref="A1:AL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1.7109375" customWidth="1"/>
    <col min="2" max="8" width="27.7109375" customWidth="1"/>
    <col min="9" max="9" width="52.7109375" customWidth="1"/>
    <col min="10" max="11" width="27.7109375" customWidth="1"/>
    <col min="12" max="12" width="52.7109375" customWidth="1"/>
    <col min="13" max="17" width="27.7109375" customWidth="1"/>
    <col min="18" max="18" width="52.7109375" customWidth="1"/>
    <col min="19" max="22" width="27.7109375" customWidth="1"/>
    <col min="23" max="23" width="52.7109375" customWidth="1"/>
    <col min="24" max="27" width="27.7109375" customWidth="1"/>
    <col min="28" max="29" width="52.7109375" customWidth="1"/>
    <col min="30" max="33" width="27.7109375" customWidth="1"/>
    <col min="34" max="34" width="52.7109375" customWidth="1"/>
    <col min="35" max="37" width="27.7109375" customWidth="1"/>
    <col min="38" max="38" width="52.7109375" customWidth="1"/>
  </cols>
  <sheetData>
    <row r="1" spans="1:38" ht="32" customHeight="1">
      <c r="A1" s="2" t="s">
        <v>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4" spans="1:38" ht="48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2" t="s">
        <v>26</v>
      </c>
      <c r="Q4" s="2" t="s">
        <v>27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37</v>
      </c>
      <c r="AB4" s="2" t="s">
        <v>38</v>
      </c>
      <c r="AC4" s="2" t="s">
        <v>39</v>
      </c>
      <c r="AD4" s="2" t="s">
        <v>40</v>
      </c>
      <c r="AE4" s="2" t="s">
        <v>41</v>
      </c>
      <c r="AF4" s="2" t="s">
        <v>42</v>
      </c>
      <c r="AG4" s="2" t="s">
        <v>43</v>
      </c>
      <c r="AH4" s="2" t="s">
        <v>44</v>
      </c>
      <c r="AI4" s="2" t="s">
        <v>45</v>
      </c>
      <c r="AJ4" s="2" t="s">
        <v>46</v>
      </c>
      <c r="AK4" s="2" t="s">
        <v>47</v>
      </c>
      <c r="AL4" s="2" t="s">
        <v>48</v>
      </c>
    </row>
    <row r="5" spans="1:38" ht="88" customHeight="1">
      <c r="A5" s="3" t="s">
        <v>126</v>
      </c>
      <c r="B5" s="3" t="s">
        <v>127</v>
      </c>
      <c r="C5" s="3" t="s">
        <v>128</v>
      </c>
      <c r="D5" s="3"/>
      <c r="E5" s="3"/>
      <c r="F5" s="4" t="s">
        <v>129</v>
      </c>
      <c r="G5" s="3" t="s">
        <v>55</v>
      </c>
      <c r="H5" s="3" t="s">
        <v>0</v>
      </c>
      <c r="I5" s="3" t="s">
        <v>130</v>
      </c>
      <c r="J5" s="3"/>
      <c r="K5" s="3"/>
      <c r="L5" s="3" t="s">
        <v>131</v>
      </c>
      <c r="M5" s="3" t="s">
        <v>58</v>
      </c>
      <c r="N5" s="3"/>
      <c r="O5" s="3"/>
      <c r="P5" s="3"/>
      <c r="Q5" s="3"/>
      <c r="R5" s="3" t="s">
        <v>132</v>
      </c>
      <c r="S5" s="3" t="s">
        <v>60</v>
      </c>
      <c r="T5" s="3" t="s">
        <v>133</v>
      </c>
      <c r="U5" s="3" t="s">
        <v>134</v>
      </c>
      <c r="V5" s="4" t="s">
        <v>129</v>
      </c>
      <c r="W5" s="4" t="s">
        <v>129</v>
      </c>
      <c r="X5" s="1">
        <v>46302</v>
      </c>
      <c r="Y5" s="3" t="s">
        <v>63</v>
      </c>
      <c r="Z5" s="3">
        <v>4</v>
      </c>
      <c r="AA5" s="3">
        <v>9</v>
      </c>
      <c r="AB5" s="3" t="s">
        <v>130</v>
      </c>
      <c r="AC5" s="3" t="s">
        <v>135</v>
      </c>
      <c r="AD5" s="3" t="s">
        <v>136</v>
      </c>
      <c r="AE5" s="3" t="s">
        <v>66</v>
      </c>
      <c r="AF5" s="3" t="s">
        <v>128</v>
      </c>
      <c r="AG5" s="3" t="s">
        <v>137</v>
      </c>
      <c r="AH5" s="4" t="s">
        <v>138</v>
      </c>
      <c r="AI5" s="3" t="s">
        <v>66</v>
      </c>
      <c r="AJ5" s="3" t="s">
        <v>68</v>
      </c>
      <c r="AK5" s="3" t="s">
        <v>139</v>
      </c>
      <c r="AL5" s="3"/>
    </row>
    <row r="6" spans="1:38" ht="88" customHeight="1">
      <c r="A6" s="3" t="s">
        <v>140</v>
      </c>
      <c r="B6" s="3" t="s">
        <v>50</v>
      </c>
      <c r="C6" s="3" t="s">
        <v>141</v>
      </c>
      <c r="D6" s="3" t="s">
        <v>142</v>
      </c>
      <c r="E6" s="3" t="s">
        <v>143</v>
      </c>
      <c r="F6" s="4" t="s">
        <v>144</v>
      </c>
      <c r="G6" s="3" t="s">
        <v>55</v>
      </c>
      <c r="H6" s="3" t="s">
        <v>0</v>
      </c>
      <c r="I6" s="3" t="s">
        <v>145</v>
      </c>
      <c r="J6" s="3"/>
      <c r="K6" s="3"/>
      <c r="L6" s="3" t="s">
        <v>146</v>
      </c>
      <c r="M6" s="3" t="s">
        <v>58</v>
      </c>
      <c r="N6" s="3"/>
      <c r="O6" s="3"/>
      <c r="P6" s="3"/>
      <c r="Q6" s="3"/>
      <c r="R6" s="3" t="s">
        <v>147</v>
      </c>
      <c r="S6" s="3" t="s">
        <v>60</v>
      </c>
      <c r="T6" s="3" t="s">
        <v>61</v>
      </c>
      <c r="U6" s="3" t="s">
        <v>142</v>
      </c>
      <c r="V6" s="4" t="s">
        <v>144</v>
      </c>
      <c r="W6" s="4" t="s">
        <v>148</v>
      </c>
      <c r="X6" s="1">
        <v>46302</v>
      </c>
      <c r="Y6" s="3" t="s">
        <v>63</v>
      </c>
      <c r="Z6" s="3">
        <v>6</v>
      </c>
      <c r="AA6" s="3">
        <v>8</v>
      </c>
      <c r="AB6" s="3" t="s">
        <v>145</v>
      </c>
      <c r="AC6" s="3" t="s">
        <v>149</v>
      </c>
      <c r="AD6" s="3" t="s">
        <v>68</v>
      </c>
      <c r="AE6" s="3" t="s">
        <v>66</v>
      </c>
      <c r="AF6" s="3" t="s">
        <v>141</v>
      </c>
      <c r="AG6" s="3" t="s">
        <v>137</v>
      </c>
      <c r="AH6" s="4" t="s">
        <v>148</v>
      </c>
      <c r="AI6" s="3" t="s">
        <v>66</v>
      </c>
      <c r="AJ6" s="3" t="s">
        <v>68</v>
      </c>
      <c r="AK6" s="3" t="s">
        <v>139</v>
      </c>
      <c r="AL6" s="3"/>
    </row>
  </sheetData>
  <autoFilter ref="A4:AL6"/>
  <mergeCells count="2">
    <mergeCell ref="A1:AL1"/>
    <mergeCell ref="A2:AL2"/>
  </mergeCells>
  <hyperlinks>
    <hyperlink ref="F5" r:id="rId1"/>
    <hyperlink ref="V5" r:id="rId2"/>
    <hyperlink ref="W5" r:id="rId3"/>
    <hyperlink ref="AH5" r:id="rId4"/>
    <hyperlink ref="F6" r:id="rId5"/>
    <hyperlink ref="V6" r:id="rId6"/>
    <hyperlink ref="W6" r:id="rId7"/>
    <hyperlink ref="AH6" r:id="rId8"/>
  </hyperlink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3E38"/>
    <pageSetUpPr fitToPage="1"/>
  </sheetPr>
  <dimension ref="A1:AL1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1.7109375" customWidth="1"/>
    <col min="2" max="8" width="27.7109375" customWidth="1"/>
    <col min="9" max="9" width="52.7109375" customWidth="1"/>
    <col min="10" max="11" width="27.7109375" customWidth="1"/>
    <col min="12" max="12" width="52.7109375" customWidth="1"/>
    <col min="13" max="17" width="27.7109375" customWidth="1"/>
    <col min="18" max="18" width="52.7109375" customWidth="1"/>
    <col min="19" max="22" width="27.7109375" customWidth="1"/>
    <col min="23" max="23" width="52.7109375" customWidth="1"/>
    <col min="24" max="27" width="27.7109375" customWidth="1"/>
    <col min="28" max="29" width="52.7109375" customWidth="1"/>
    <col min="30" max="33" width="27.7109375" customWidth="1"/>
    <col min="34" max="34" width="52.7109375" customWidth="1"/>
    <col min="35" max="37" width="27.7109375" customWidth="1"/>
    <col min="38" max="38" width="52.7109375" customWidth="1"/>
  </cols>
  <sheetData>
    <row r="1" spans="1:38" ht="32" customHeight="1">
      <c r="A1" s="2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4" spans="1:38" ht="48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2" t="s">
        <v>26</v>
      </c>
      <c r="Q4" s="2" t="s">
        <v>27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37</v>
      </c>
      <c r="AB4" s="2" t="s">
        <v>38</v>
      </c>
      <c r="AC4" s="2" t="s">
        <v>39</v>
      </c>
      <c r="AD4" s="2" t="s">
        <v>40</v>
      </c>
      <c r="AE4" s="2" t="s">
        <v>41</v>
      </c>
      <c r="AF4" s="2" t="s">
        <v>42</v>
      </c>
      <c r="AG4" s="2" t="s">
        <v>43</v>
      </c>
      <c r="AH4" s="2" t="s">
        <v>44</v>
      </c>
      <c r="AI4" s="2" t="s">
        <v>45</v>
      </c>
      <c r="AJ4" s="2" t="s">
        <v>46</v>
      </c>
      <c r="AK4" s="2" t="s">
        <v>47</v>
      </c>
      <c r="AL4" s="2" t="s">
        <v>48</v>
      </c>
    </row>
    <row r="5" spans="1:38" ht="88" customHeight="1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4" t="s">
        <v>54</v>
      </c>
      <c r="G5" s="3" t="s">
        <v>55</v>
      </c>
      <c r="H5" s="3" t="s">
        <v>0</v>
      </c>
      <c r="I5" s="3" t="s">
        <v>56</v>
      </c>
      <c r="J5" s="3"/>
      <c r="K5" s="3"/>
      <c r="L5" s="3" t="s">
        <v>57</v>
      </c>
      <c r="M5" s="3" t="s">
        <v>58</v>
      </c>
      <c r="N5" s="3"/>
      <c r="O5" s="3"/>
      <c r="P5" s="3"/>
      <c r="Q5" s="3"/>
      <c r="R5" s="3" t="s">
        <v>59</v>
      </c>
      <c r="S5" s="3" t="s">
        <v>60</v>
      </c>
      <c r="T5" s="3" t="s">
        <v>61</v>
      </c>
      <c r="U5" s="3" t="s">
        <v>52</v>
      </c>
      <c r="V5" s="4" t="s">
        <v>54</v>
      </c>
      <c r="W5" s="4" t="s">
        <v>62</v>
      </c>
      <c r="X5" s="1">
        <v>46302</v>
      </c>
      <c r="Y5" s="3" t="s">
        <v>63</v>
      </c>
      <c r="Z5" s="3">
        <v>8</v>
      </c>
      <c r="AA5" s="3">
        <v>5</v>
      </c>
      <c r="AB5" s="3" t="s">
        <v>56</v>
      </c>
      <c r="AC5" s="3" t="s">
        <v>64</v>
      </c>
      <c r="AD5" s="3" t="s">
        <v>65</v>
      </c>
      <c r="AE5" s="3" t="s">
        <v>66</v>
      </c>
      <c r="AF5" s="3" t="s">
        <v>51</v>
      </c>
      <c r="AG5" s="3" t="s">
        <v>67</v>
      </c>
      <c r="AH5" s="3"/>
      <c r="AI5" s="3" t="s">
        <v>66</v>
      </c>
      <c r="AJ5" s="3" t="s">
        <v>68</v>
      </c>
      <c r="AK5" s="3" t="s">
        <v>65</v>
      </c>
      <c r="AL5" s="3" t="s">
        <v>69</v>
      </c>
    </row>
    <row r="6" spans="1:38" ht="88" customHeight="1">
      <c r="A6" s="3" t="s">
        <v>70</v>
      </c>
      <c r="B6" s="3" t="s">
        <v>71</v>
      </c>
      <c r="C6" s="3" t="s">
        <v>72</v>
      </c>
      <c r="D6" s="3" t="s">
        <v>73</v>
      </c>
      <c r="E6" s="3" t="s">
        <v>74</v>
      </c>
      <c r="F6" s="4" t="s">
        <v>75</v>
      </c>
      <c r="G6" s="3" t="s">
        <v>55</v>
      </c>
      <c r="H6" s="3" t="s">
        <v>0</v>
      </c>
      <c r="I6" s="3" t="s">
        <v>76</v>
      </c>
      <c r="J6" s="3"/>
      <c r="K6" s="3"/>
      <c r="L6" s="3" t="s">
        <v>77</v>
      </c>
      <c r="M6" s="3" t="s">
        <v>58</v>
      </c>
      <c r="N6" s="3"/>
      <c r="O6" s="3"/>
      <c r="P6" s="3"/>
      <c r="Q6" s="3"/>
      <c r="R6" s="3" t="s">
        <v>78</v>
      </c>
      <c r="S6" s="3" t="s">
        <v>60</v>
      </c>
      <c r="T6" s="3" t="s">
        <v>61</v>
      </c>
      <c r="U6" s="3" t="s">
        <v>73</v>
      </c>
      <c r="V6" s="4" t="s">
        <v>75</v>
      </c>
      <c r="W6" s="4" t="s">
        <v>79</v>
      </c>
      <c r="X6" s="1">
        <v>46302</v>
      </c>
      <c r="Y6" s="3" t="s">
        <v>63</v>
      </c>
      <c r="Z6" s="3">
        <v>6</v>
      </c>
      <c r="AA6" s="3">
        <v>8</v>
      </c>
      <c r="AB6" s="3" t="s">
        <v>76</v>
      </c>
      <c r="AC6" s="3" t="s">
        <v>80</v>
      </c>
      <c r="AD6" s="3" t="s">
        <v>65</v>
      </c>
      <c r="AE6" s="3" t="s">
        <v>66</v>
      </c>
      <c r="AF6" s="3" t="s">
        <v>72</v>
      </c>
      <c r="AG6" s="3" t="s">
        <v>67</v>
      </c>
      <c r="AH6" s="4" t="s">
        <v>79</v>
      </c>
      <c r="AI6" s="3" t="s">
        <v>66</v>
      </c>
      <c r="AJ6" s="3" t="s">
        <v>68</v>
      </c>
      <c r="AK6" s="3" t="s">
        <v>65</v>
      </c>
      <c r="AL6" s="3" t="s">
        <v>69</v>
      </c>
    </row>
    <row r="7" spans="1:38" ht="88" customHeight="1">
      <c r="A7" s="3" t="s">
        <v>81</v>
      </c>
      <c r="B7" s="3" t="s">
        <v>50</v>
      </c>
      <c r="C7" s="3" t="s">
        <v>82</v>
      </c>
      <c r="D7" s="3" t="s">
        <v>83</v>
      </c>
      <c r="E7" s="3" t="s">
        <v>84</v>
      </c>
      <c r="F7" s="4" t="s">
        <v>85</v>
      </c>
      <c r="G7" s="3" t="s">
        <v>55</v>
      </c>
      <c r="H7" s="3" t="s">
        <v>0</v>
      </c>
      <c r="I7" s="3" t="s">
        <v>86</v>
      </c>
      <c r="J7" s="3"/>
      <c r="K7" s="3"/>
      <c r="L7" s="3" t="s">
        <v>87</v>
      </c>
      <c r="M7" s="3" t="s">
        <v>58</v>
      </c>
      <c r="N7" s="3"/>
      <c r="O7" s="3"/>
      <c r="P7" s="3"/>
      <c r="Q7" s="3"/>
      <c r="R7" s="3" t="s">
        <v>88</v>
      </c>
      <c r="S7" s="3" t="s">
        <v>60</v>
      </c>
      <c r="T7" s="3" t="s">
        <v>61</v>
      </c>
      <c r="U7" s="3" t="s">
        <v>83</v>
      </c>
      <c r="V7" s="4" t="s">
        <v>85</v>
      </c>
      <c r="W7" s="4" t="s">
        <v>85</v>
      </c>
      <c r="X7" s="1">
        <v>46302</v>
      </c>
      <c r="Y7" s="3" t="s">
        <v>63</v>
      </c>
      <c r="Z7" s="3">
        <v>7</v>
      </c>
      <c r="AA7" s="3">
        <v>8</v>
      </c>
      <c r="AB7" s="3" t="s">
        <v>86</v>
      </c>
      <c r="AC7" s="3" t="s">
        <v>89</v>
      </c>
      <c r="AD7" s="3" t="s">
        <v>65</v>
      </c>
      <c r="AE7" s="3" t="s">
        <v>66</v>
      </c>
      <c r="AF7" s="3" t="s">
        <v>82</v>
      </c>
      <c r="AG7" s="3" t="s">
        <v>67</v>
      </c>
      <c r="AH7" s="4" t="s">
        <v>85</v>
      </c>
      <c r="AI7" s="3" t="s">
        <v>66</v>
      </c>
      <c r="AJ7" s="3" t="s">
        <v>68</v>
      </c>
      <c r="AK7" s="3" t="s">
        <v>65</v>
      </c>
      <c r="AL7" s="3" t="s">
        <v>69</v>
      </c>
    </row>
    <row r="8" spans="1:38" ht="88" customHeight="1">
      <c r="A8" s="3" t="s">
        <v>90</v>
      </c>
      <c r="B8" s="3" t="s">
        <v>91</v>
      </c>
      <c r="C8" s="3" t="s">
        <v>51</v>
      </c>
      <c r="D8" s="3"/>
      <c r="E8" s="3"/>
      <c r="F8" s="4" t="s">
        <v>92</v>
      </c>
      <c r="G8" s="3" t="s">
        <v>55</v>
      </c>
      <c r="H8" s="3" t="s">
        <v>0</v>
      </c>
      <c r="I8" s="3" t="s">
        <v>93</v>
      </c>
      <c r="J8" s="3"/>
      <c r="K8" s="3"/>
      <c r="L8" s="3" t="s">
        <v>94</v>
      </c>
      <c r="M8" s="3" t="s">
        <v>58</v>
      </c>
      <c r="N8" s="3"/>
      <c r="O8" s="3"/>
      <c r="P8" s="3"/>
      <c r="Q8" s="3"/>
      <c r="R8" s="3" t="s">
        <v>95</v>
      </c>
      <c r="S8" s="3" t="s">
        <v>60</v>
      </c>
      <c r="T8" s="3" t="s">
        <v>96</v>
      </c>
      <c r="U8" s="3" t="s">
        <v>97</v>
      </c>
      <c r="V8" s="4" t="s">
        <v>92</v>
      </c>
      <c r="W8" s="4" t="s">
        <v>92</v>
      </c>
      <c r="X8" s="1">
        <v>46302</v>
      </c>
      <c r="Y8" s="3" t="s">
        <v>63</v>
      </c>
      <c r="Z8" s="3">
        <v>5</v>
      </c>
      <c r="AA8" s="3">
        <v>8</v>
      </c>
      <c r="AB8" s="3" t="s">
        <v>93</v>
      </c>
      <c r="AC8" s="3" t="s">
        <v>98</v>
      </c>
      <c r="AD8" s="3" t="s">
        <v>65</v>
      </c>
      <c r="AE8" s="3" t="s">
        <v>66</v>
      </c>
      <c r="AF8" s="3" t="s">
        <v>51</v>
      </c>
      <c r="AG8" s="3" t="s">
        <v>67</v>
      </c>
      <c r="AH8" s="3"/>
      <c r="AI8" s="3" t="s">
        <v>66</v>
      </c>
      <c r="AJ8" s="3" t="s">
        <v>68</v>
      </c>
      <c r="AK8" s="3" t="s">
        <v>65</v>
      </c>
      <c r="AL8" s="3" t="s">
        <v>69</v>
      </c>
    </row>
    <row r="9" spans="1:38" ht="88" customHeight="1">
      <c r="A9" s="3" t="s">
        <v>99</v>
      </c>
      <c r="B9" s="3" t="s">
        <v>50</v>
      </c>
      <c r="C9" s="3" t="s">
        <v>100</v>
      </c>
      <c r="D9" s="3" t="s">
        <v>101</v>
      </c>
      <c r="E9" s="3" t="s">
        <v>102</v>
      </c>
      <c r="F9" s="4" t="s">
        <v>103</v>
      </c>
      <c r="G9" s="3" t="s">
        <v>55</v>
      </c>
      <c r="H9" s="3" t="s">
        <v>0</v>
      </c>
      <c r="I9" s="3" t="s">
        <v>104</v>
      </c>
      <c r="J9" s="3"/>
      <c r="K9" s="3"/>
      <c r="L9" s="3" t="s">
        <v>105</v>
      </c>
      <c r="M9" s="3" t="s">
        <v>58</v>
      </c>
      <c r="N9" s="3"/>
      <c r="O9" s="3"/>
      <c r="P9" s="3"/>
      <c r="Q9" s="3"/>
      <c r="R9" s="3" t="s">
        <v>106</v>
      </c>
      <c r="S9" s="3" t="s">
        <v>60</v>
      </c>
      <c r="T9" s="3" t="s">
        <v>61</v>
      </c>
      <c r="U9" s="3" t="s">
        <v>101</v>
      </c>
      <c r="V9" s="4" t="s">
        <v>103</v>
      </c>
      <c r="W9" s="4" t="s">
        <v>103</v>
      </c>
      <c r="X9" s="1">
        <v>46302</v>
      </c>
      <c r="Y9" s="3" t="s">
        <v>63</v>
      </c>
      <c r="Z9" s="3">
        <v>4</v>
      </c>
      <c r="AA9" s="3">
        <v>7</v>
      </c>
      <c r="AB9" s="3" t="s">
        <v>104</v>
      </c>
      <c r="AC9" s="3" t="s">
        <v>107</v>
      </c>
      <c r="AD9" s="3" t="s">
        <v>65</v>
      </c>
      <c r="AE9" s="3" t="s">
        <v>66</v>
      </c>
      <c r="AF9" s="3" t="s">
        <v>100</v>
      </c>
      <c r="AG9" s="3" t="s">
        <v>67</v>
      </c>
      <c r="AH9" s="4" t="s">
        <v>103</v>
      </c>
      <c r="AI9" s="3" t="s">
        <v>66</v>
      </c>
      <c r="AJ9" s="3" t="s">
        <v>68</v>
      </c>
      <c r="AK9" s="3" t="s">
        <v>65</v>
      </c>
      <c r="AL9" s="3" t="s">
        <v>69</v>
      </c>
    </row>
    <row r="10" spans="1:38" ht="88" customHeight="1">
      <c r="A10" s="3" t="s">
        <v>108</v>
      </c>
      <c r="B10" s="3" t="s">
        <v>109</v>
      </c>
      <c r="C10" s="3" t="s">
        <v>110</v>
      </c>
      <c r="D10" s="3" t="s">
        <v>111</v>
      </c>
      <c r="E10" s="3"/>
      <c r="F10" s="4" t="s">
        <v>112</v>
      </c>
      <c r="G10" s="3" t="s">
        <v>55</v>
      </c>
      <c r="H10" s="3" t="s">
        <v>0</v>
      </c>
      <c r="I10" s="3" t="s">
        <v>113</v>
      </c>
      <c r="J10" s="3"/>
      <c r="K10" s="3"/>
      <c r="L10" s="3" t="s">
        <v>114</v>
      </c>
      <c r="M10" s="3" t="s">
        <v>58</v>
      </c>
      <c r="N10" s="3"/>
      <c r="O10" s="3"/>
      <c r="P10" s="3"/>
      <c r="Q10" s="3"/>
      <c r="R10" s="3" t="s">
        <v>115</v>
      </c>
      <c r="S10" s="3" t="s">
        <v>60</v>
      </c>
      <c r="T10" s="3" t="s">
        <v>61</v>
      </c>
      <c r="U10" s="3" t="s">
        <v>111</v>
      </c>
      <c r="V10" s="4" t="s">
        <v>112</v>
      </c>
      <c r="W10" s="4" t="s">
        <v>116</v>
      </c>
      <c r="X10" s="1">
        <v>46302</v>
      </c>
      <c r="Y10" s="3" t="s">
        <v>63</v>
      </c>
      <c r="Z10" s="3">
        <v>7</v>
      </c>
      <c r="AA10" s="3">
        <v>7</v>
      </c>
      <c r="AB10" s="3" t="s">
        <v>113</v>
      </c>
      <c r="AC10" s="3" t="s">
        <v>117</v>
      </c>
      <c r="AD10" s="3" t="s">
        <v>65</v>
      </c>
      <c r="AE10" s="3" t="s">
        <v>66</v>
      </c>
      <c r="AF10" s="3" t="s">
        <v>110</v>
      </c>
      <c r="AG10" s="3" t="s">
        <v>67</v>
      </c>
      <c r="AH10" s="4" t="s">
        <v>116</v>
      </c>
      <c r="AI10" s="3" t="s">
        <v>66</v>
      </c>
      <c r="AJ10" s="3" t="s">
        <v>68</v>
      </c>
      <c r="AK10" s="3" t="s">
        <v>65</v>
      </c>
      <c r="AL10" s="3" t="s">
        <v>69</v>
      </c>
    </row>
    <row r="11" spans="1:38" ht="88" customHeight="1">
      <c r="A11" s="3" t="s">
        <v>118</v>
      </c>
      <c r="B11" s="3" t="s">
        <v>119</v>
      </c>
      <c r="C11" s="3" t="s">
        <v>51</v>
      </c>
      <c r="D11" s="3" t="s">
        <v>120</v>
      </c>
      <c r="E11" s="3"/>
      <c r="F11" s="4" t="s">
        <v>121</v>
      </c>
      <c r="G11" s="3" t="s">
        <v>55</v>
      </c>
      <c r="H11" s="3" t="s">
        <v>0</v>
      </c>
      <c r="I11" s="3" t="s">
        <v>122</v>
      </c>
      <c r="J11" s="3"/>
      <c r="K11" s="3"/>
      <c r="L11" s="3" t="s">
        <v>123</v>
      </c>
      <c r="M11" s="3" t="s">
        <v>58</v>
      </c>
      <c r="N11" s="3"/>
      <c r="O11" s="3"/>
      <c r="P11" s="3"/>
      <c r="Q11" s="3"/>
      <c r="R11" s="3" t="s">
        <v>124</v>
      </c>
      <c r="S11" s="3" t="s">
        <v>60</v>
      </c>
      <c r="T11" s="3" t="s">
        <v>61</v>
      </c>
      <c r="U11" s="3" t="s">
        <v>120</v>
      </c>
      <c r="V11" s="4" t="s">
        <v>121</v>
      </c>
      <c r="W11" s="4" t="s">
        <v>121</v>
      </c>
      <c r="X11" s="1">
        <v>46302</v>
      </c>
      <c r="Y11" s="3" t="s">
        <v>63</v>
      </c>
      <c r="Z11" s="3">
        <v>3</v>
      </c>
      <c r="AA11" s="3">
        <v>9</v>
      </c>
      <c r="AB11" s="3" t="s">
        <v>122</v>
      </c>
      <c r="AC11" s="3" t="s">
        <v>125</v>
      </c>
      <c r="AD11" s="3" t="s">
        <v>65</v>
      </c>
      <c r="AE11" s="3" t="s">
        <v>66</v>
      </c>
      <c r="AF11" s="3" t="s">
        <v>51</v>
      </c>
      <c r="AG11" s="3" t="s">
        <v>67</v>
      </c>
      <c r="AH11" s="3"/>
      <c r="AI11" s="3" t="s">
        <v>66</v>
      </c>
      <c r="AJ11" s="3" t="s">
        <v>68</v>
      </c>
      <c r="AK11" s="3" t="s">
        <v>65</v>
      </c>
      <c r="AL11" s="3" t="s">
        <v>69</v>
      </c>
    </row>
    <row r="12" spans="1:38" ht="88" customHeight="1">
      <c r="A12" s="3" t="s">
        <v>150</v>
      </c>
      <c r="B12" s="3" t="s">
        <v>151</v>
      </c>
      <c r="C12" s="3" t="s">
        <v>51</v>
      </c>
      <c r="D12" s="3" t="s">
        <v>152</v>
      </c>
      <c r="E12" s="3"/>
      <c r="F12" s="4" t="s">
        <v>153</v>
      </c>
      <c r="G12" s="3" t="s">
        <v>55</v>
      </c>
      <c r="H12" s="3" t="s">
        <v>0</v>
      </c>
      <c r="I12" s="3" t="s">
        <v>154</v>
      </c>
      <c r="J12" s="3"/>
      <c r="K12" s="3"/>
      <c r="L12" s="3" t="s">
        <v>155</v>
      </c>
      <c r="M12" s="3" t="s">
        <v>58</v>
      </c>
      <c r="N12" s="3"/>
      <c r="O12" s="3"/>
      <c r="P12" s="3"/>
      <c r="Q12" s="3"/>
      <c r="R12" s="3" t="s">
        <v>156</v>
      </c>
      <c r="S12" s="3" t="s">
        <v>60</v>
      </c>
      <c r="T12" s="3" t="s">
        <v>61</v>
      </c>
      <c r="U12" s="3" t="s">
        <v>152</v>
      </c>
      <c r="V12" s="4" t="s">
        <v>153</v>
      </c>
      <c r="W12" s="4" t="s">
        <v>157</v>
      </c>
      <c r="X12" s="1">
        <v>46302</v>
      </c>
      <c r="Y12" s="3" t="s">
        <v>63</v>
      </c>
      <c r="Z12" s="3">
        <v>5</v>
      </c>
      <c r="AA12" s="3">
        <v>7</v>
      </c>
      <c r="AB12" s="3" t="s">
        <v>154</v>
      </c>
      <c r="AC12" s="3" t="s">
        <v>158</v>
      </c>
      <c r="AD12" s="3" t="s">
        <v>65</v>
      </c>
      <c r="AE12" s="3" t="s">
        <v>159</v>
      </c>
      <c r="AF12" s="3" t="s">
        <v>51</v>
      </c>
      <c r="AG12" s="3" t="s">
        <v>67</v>
      </c>
      <c r="AH12" s="3"/>
      <c r="AI12" s="3" t="s">
        <v>160</v>
      </c>
      <c r="AJ12" s="3" t="s">
        <v>68</v>
      </c>
      <c r="AK12" s="3" t="s">
        <v>65</v>
      </c>
      <c r="AL12" s="3" t="s">
        <v>69</v>
      </c>
    </row>
    <row r="13" spans="1:38" ht="88" customHeight="1">
      <c r="A13" s="3" t="s">
        <v>161</v>
      </c>
      <c r="B13" s="3" t="s">
        <v>162</v>
      </c>
      <c r="C13" s="3" t="s">
        <v>163</v>
      </c>
      <c r="D13" s="3"/>
      <c r="E13" s="3"/>
      <c r="F13" s="3"/>
      <c r="G13" s="3" t="s">
        <v>55</v>
      </c>
      <c r="H13" s="3" t="s">
        <v>0</v>
      </c>
      <c r="I13" s="3" t="s">
        <v>164</v>
      </c>
      <c r="J13" s="3"/>
      <c r="K13" s="3"/>
      <c r="L13" s="3" t="s">
        <v>165</v>
      </c>
      <c r="M13" s="3" t="s">
        <v>58</v>
      </c>
      <c r="N13" s="3"/>
      <c r="O13" s="3"/>
      <c r="P13" s="3"/>
      <c r="Q13" s="3"/>
      <c r="R13" s="3" t="s">
        <v>166</v>
      </c>
      <c r="S13" s="3" t="s">
        <v>60</v>
      </c>
      <c r="T13" s="3" t="s">
        <v>133</v>
      </c>
      <c r="U13" s="3" t="s">
        <v>167</v>
      </c>
      <c r="V13" s="3"/>
      <c r="W13" s="4" t="s">
        <v>168</v>
      </c>
      <c r="X13" s="1">
        <v>46302</v>
      </c>
      <c r="Y13" s="3" t="s">
        <v>65</v>
      </c>
      <c r="Z13" s="3">
        <v>6</v>
      </c>
      <c r="AA13" s="3">
        <v>6</v>
      </c>
      <c r="AB13" s="3" t="s">
        <v>164</v>
      </c>
      <c r="AC13" s="3" t="s">
        <v>169</v>
      </c>
      <c r="AD13" s="3" t="s">
        <v>65</v>
      </c>
      <c r="AE13" s="3" t="s">
        <v>170</v>
      </c>
      <c r="AF13" s="3" t="s">
        <v>163</v>
      </c>
      <c r="AG13" s="3" t="s">
        <v>171</v>
      </c>
      <c r="AH13" s="4" t="s">
        <v>168</v>
      </c>
      <c r="AI13" s="3" t="s">
        <v>160</v>
      </c>
      <c r="AJ13" s="3" t="s">
        <v>136</v>
      </c>
      <c r="AK13" s="3" t="s">
        <v>65</v>
      </c>
      <c r="AL13" s="3" t="s">
        <v>172</v>
      </c>
    </row>
    <row r="14" spans="1:38" ht="88" customHeight="1">
      <c r="A14" s="3" t="s">
        <v>173</v>
      </c>
      <c r="B14" s="3" t="s">
        <v>174</v>
      </c>
      <c r="C14" s="3" t="s">
        <v>175</v>
      </c>
      <c r="D14" s="3"/>
      <c r="E14" s="3"/>
      <c r="F14" s="3"/>
      <c r="G14" s="3" t="s">
        <v>55</v>
      </c>
      <c r="H14" s="3" t="s">
        <v>0</v>
      </c>
      <c r="I14" s="3" t="s">
        <v>176</v>
      </c>
      <c r="J14" s="3"/>
      <c r="K14" s="3"/>
      <c r="L14" s="3" t="s">
        <v>177</v>
      </c>
      <c r="M14" s="3" t="s">
        <v>58</v>
      </c>
      <c r="N14" s="3"/>
      <c r="O14" s="3"/>
      <c r="P14" s="3"/>
      <c r="Q14" s="3"/>
      <c r="R14" s="3" t="s">
        <v>178</v>
      </c>
      <c r="S14" s="3" t="s">
        <v>60</v>
      </c>
      <c r="T14" s="3" t="s">
        <v>133</v>
      </c>
      <c r="U14" s="3" t="s">
        <v>179</v>
      </c>
      <c r="V14" s="3"/>
      <c r="W14" s="4" t="s">
        <v>180</v>
      </c>
      <c r="X14" s="1">
        <v>46302</v>
      </c>
      <c r="Y14" s="3" t="s">
        <v>65</v>
      </c>
      <c r="Z14" s="3">
        <v>6</v>
      </c>
      <c r="AA14" s="3">
        <v>6</v>
      </c>
      <c r="AB14" s="3" t="s">
        <v>176</v>
      </c>
      <c r="AC14" s="3" t="s">
        <v>181</v>
      </c>
      <c r="AD14" s="3" t="s">
        <v>65</v>
      </c>
      <c r="AE14" s="3" t="s">
        <v>182</v>
      </c>
      <c r="AF14" s="3" t="s">
        <v>175</v>
      </c>
      <c r="AG14" s="3" t="s">
        <v>137</v>
      </c>
      <c r="AH14" s="4" t="s">
        <v>180</v>
      </c>
      <c r="AI14" s="3" t="s">
        <v>160</v>
      </c>
      <c r="AJ14" s="3" t="s">
        <v>136</v>
      </c>
      <c r="AK14" s="3" t="s">
        <v>65</v>
      </c>
      <c r="AL14" s="3" t="s">
        <v>172</v>
      </c>
    </row>
    <row r="15" spans="1:38" ht="88" customHeight="1">
      <c r="A15" s="3" t="s">
        <v>183</v>
      </c>
      <c r="B15" s="3" t="s">
        <v>184</v>
      </c>
      <c r="C15" s="3" t="s">
        <v>185</v>
      </c>
      <c r="D15" s="3"/>
      <c r="E15" s="3"/>
      <c r="F15" s="4" t="s">
        <v>186</v>
      </c>
      <c r="G15" s="3" t="s">
        <v>55</v>
      </c>
      <c r="H15" s="3" t="s">
        <v>0</v>
      </c>
      <c r="I15" s="3" t="s">
        <v>187</v>
      </c>
      <c r="J15" s="3"/>
      <c r="K15" s="3"/>
      <c r="L15" s="3" t="s">
        <v>188</v>
      </c>
      <c r="M15" s="3" t="s">
        <v>58</v>
      </c>
      <c r="N15" s="3"/>
      <c r="O15" s="3"/>
      <c r="P15" s="3"/>
      <c r="Q15" s="3"/>
      <c r="R15" s="3" t="s">
        <v>189</v>
      </c>
      <c r="S15" s="3" t="s">
        <v>60</v>
      </c>
      <c r="T15" s="3"/>
      <c r="U15" s="3"/>
      <c r="V15" s="3"/>
      <c r="W15" s="3"/>
      <c r="X15" s="1">
        <v>46302</v>
      </c>
      <c r="Y15" s="3" t="s">
        <v>65</v>
      </c>
      <c r="AB15" s="3" t="s">
        <v>187</v>
      </c>
      <c r="AC15" s="3" t="s">
        <v>190</v>
      </c>
      <c r="AD15" s="3" t="s">
        <v>65</v>
      </c>
      <c r="AE15" s="3" t="s">
        <v>191</v>
      </c>
      <c r="AF15" s="3" t="s">
        <v>185</v>
      </c>
      <c r="AG15" s="3" t="s">
        <v>171</v>
      </c>
      <c r="AH15" s="4" t="s">
        <v>192</v>
      </c>
      <c r="AI15" s="3" t="s">
        <v>160</v>
      </c>
      <c r="AJ15" s="3" t="s">
        <v>193</v>
      </c>
      <c r="AK15" s="3" t="s">
        <v>65</v>
      </c>
      <c r="AL15" s="3" t="s">
        <v>194</v>
      </c>
    </row>
  </sheetData>
  <autoFilter ref="A4:AL15"/>
  <mergeCells count="2">
    <mergeCell ref="A1:AL1"/>
    <mergeCell ref="A2:AL2"/>
  </mergeCells>
  <hyperlinks>
    <hyperlink ref="F5" r:id="rId1"/>
    <hyperlink ref="V5" r:id="rId2"/>
    <hyperlink ref="W5" r:id="rId3"/>
    <hyperlink ref="F6" r:id="rId4"/>
    <hyperlink ref="V6" r:id="rId5"/>
    <hyperlink ref="W6" r:id="rId6"/>
    <hyperlink ref="AH6" r:id="rId7"/>
    <hyperlink ref="F7" r:id="rId8"/>
    <hyperlink ref="V7" r:id="rId9"/>
    <hyperlink ref="W7" r:id="rId10"/>
    <hyperlink ref="AH7" r:id="rId11"/>
    <hyperlink ref="F8" r:id="rId12"/>
    <hyperlink ref="V8" r:id="rId13"/>
    <hyperlink ref="W8" r:id="rId14"/>
    <hyperlink ref="F9" r:id="rId15"/>
    <hyperlink ref="V9" r:id="rId16"/>
    <hyperlink ref="W9" r:id="rId17"/>
    <hyperlink ref="AH9" r:id="rId18"/>
    <hyperlink ref="F10" r:id="rId19"/>
    <hyperlink ref="V10" r:id="rId20"/>
    <hyperlink ref="W10" r:id="rId21"/>
    <hyperlink ref="AH10" r:id="rId22"/>
    <hyperlink ref="F11" r:id="rId23"/>
    <hyperlink ref="V11" r:id="rId24"/>
    <hyperlink ref="W11" r:id="rId25"/>
    <hyperlink ref="F12" r:id="rId26"/>
    <hyperlink ref="V12" r:id="rId27"/>
    <hyperlink ref="W12" r:id="rId28"/>
    <hyperlink ref="W13" r:id="rId29"/>
    <hyperlink ref="AH13" r:id="rId30"/>
    <hyperlink ref="W14" r:id="rId31"/>
    <hyperlink ref="AH14" r:id="rId32"/>
    <hyperlink ref="F15" r:id="rId33"/>
    <hyperlink ref="AH15" r:id="rId34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55.7109375" customWidth="1"/>
    <col min="2" max="2" width="24.7109375" customWidth="1"/>
  </cols>
  <sheetData>
    <row r="1" spans="1:2">
      <c r="A1" s="2" t="s">
        <v>197</v>
      </c>
      <c r="B1" s="2" t="s">
        <v>198</v>
      </c>
    </row>
    <row r="2" spans="1:2">
      <c r="A2" s="3" t="s">
        <v>199</v>
      </c>
      <c r="B2" s="5">
        <f>COUNTA(CRM!A5:A204)</f>
        <v>13</v>
      </c>
    </row>
    <row r="3" spans="1:2">
      <c r="A3" s="3" t="s">
        <v>200</v>
      </c>
      <c r="B3" s="5">
        <f>COUNTIF(CRM!AK5:AK204,"Qualificado")</f>
        <v>2</v>
      </c>
    </row>
    <row r="4" spans="1:2">
      <c r="A4" s="3" t="s">
        <v>201</v>
      </c>
      <c r="B4" s="5">
        <f>COUNTIF(CRM!AK5:AK204,"Pendente")</f>
        <v>11</v>
      </c>
    </row>
    <row r="5" spans="1:2">
      <c r="A5" s="3" t="s">
        <v>202</v>
      </c>
      <c r="B5" s="5">
        <f>COUNTIF(CRM!AI5:AI204,"FORA DO BRASIL")</f>
        <v>4</v>
      </c>
    </row>
    <row r="6" spans="1:2">
      <c r="A6" s="3" t="s">
        <v>203</v>
      </c>
      <c r="B6" s="5">
        <f>COUNTIF(CRM!H5:H204,"Fechado")</f>
        <v>0</v>
      </c>
    </row>
    <row r="7" spans="1:2">
      <c r="A7" s="3" t="s">
        <v>204</v>
      </c>
      <c r="B7" s="5">
        <f>COUNTIF(CRM!S5:S204,"Hoje")</f>
        <v>0</v>
      </c>
    </row>
    <row r="8" spans="1:2">
      <c r="A8" s="3" t="s">
        <v>205</v>
      </c>
      <c r="B8" s="5">
        <f>COUNTIF(CRM!S5:S204,"Atrasado")</f>
        <v>0</v>
      </c>
    </row>
    <row r="11" spans="1:2" ht="42" customHeight="1">
      <c r="A11" s="3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68.7109375" customWidth="1"/>
  </cols>
  <sheetData>
    <row r="1" spans="1:2" ht="35" customHeight="1">
      <c r="A1" s="2" t="s">
        <v>207</v>
      </c>
      <c r="B1" s="2" t="s">
        <v>208</v>
      </c>
    </row>
    <row r="2" spans="1:2" ht="100" customHeight="1">
      <c r="A2" s="3" t="s">
        <v>209</v>
      </c>
      <c r="B2" s="3" t="s">
        <v>210</v>
      </c>
    </row>
    <row r="3" spans="1:2" ht="100" customHeight="1">
      <c r="A3" s="3" t="s">
        <v>211</v>
      </c>
      <c r="B3" s="3" t="s">
        <v>212</v>
      </c>
    </row>
    <row r="4" spans="1:2" ht="100" customHeight="1">
      <c r="A4" s="3" t="s">
        <v>213</v>
      </c>
      <c r="B4" s="3" t="s">
        <v>214</v>
      </c>
    </row>
    <row r="5" spans="1:2" ht="100" customHeight="1">
      <c r="A5" s="3" t="s">
        <v>215</v>
      </c>
      <c r="B5" s="3" t="s">
        <v>216</v>
      </c>
    </row>
    <row r="6" spans="1:2" ht="100" customHeight="1">
      <c r="A6" s="3" t="s">
        <v>217</v>
      </c>
      <c r="B6" s="3" t="s">
        <v>218</v>
      </c>
    </row>
    <row r="7" spans="1:2" ht="100" customHeight="1">
      <c r="A7" s="3" t="s">
        <v>219</v>
      </c>
      <c r="B7" s="3" t="s">
        <v>220</v>
      </c>
    </row>
    <row r="8" spans="1:2" ht="100" customHeight="1">
      <c r="A8" s="3" t="s">
        <v>221</v>
      </c>
      <c r="B8" s="3" t="s">
        <v>222</v>
      </c>
    </row>
    <row r="9" spans="1:2" ht="100" customHeight="1">
      <c r="A9" s="3" t="s">
        <v>223</v>
      </c>
      <c r="B9" s="3" t="s">
        <v>224</v>
      </c>
    </row>
    <row r="10" spans="1:2" ht="100" customHeight="1">
      <c r="A10" s="3" t="s">
        <v>225</v>
      </c>
      <c r="B10" s="3" t="s">
        <v>226</v>
      </c>
    </row>
    <row r="11" spans="1:2" ht="100" customHeight="1">
      <c r="A11" s="3" t="s">
        <v>227</v>
      </c>
      <c r="B11" s="3" t="s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3" width="68.7109375" customWidth="1"/>
  </cols>
  <sheetData>
    <row r="1" spans="1:3" ht="35" customHeight="1">
      <c r="A1" s="2" t="s">
        <v>229</v>
      </c>
      <c r="B1" s="2" t="s">
        <v>230</v>
      </c>
      <c r="C1" s="2" t="s">
        <v>231</v>
      </c>
    </row>
    <row r="2" spans="1:3" ht="100" customHeight="1">
      <c r="A2" s="3" t="s">
        <v>36</v>
      </c>
      <c r="B2" s="3" t="s">
        <v>232</v>
      </c>
      <c r="C2" s="3" t="s">
        <v>233</v>
      </c>
    </row>
    <row r="3" spans="1:3" ht="100" customHeight="1">
      <c r="A3" s="3" t="s">
        <v>37</v>
      </c>
      <c r="B3" s="3" t="s">
        <v>234</v>
      </c>
      <c r="C3" s="3" t="s">
        <v>235</v>
      </c>
    </row>
    <row r="4" spans="1:3" ht="100" customHeight="1">
      <c r="A4" s="3" t="s">
        <v>236</v>
      </c>
      <c r="B4" s="3" t="s">
        <v>237</v>
      </c>
      <c r="C4" s="3" t="s">
        <v>238</v>
      </c>
    </row>
    <row r="5" spans="1:3" ht="100" customHeight="1">
      <c r="A5" s="3" t="s">
        <v>40</v>
      </c>
      <c r="B5" s="3" t="s">
        <v>239</v>
      </c>
      <c r="C5" s="3" t="s">
        <v>240</v>
      </c>
    </row>
    <row r="6" spans="1:3" ht="100" customHeight="1">
      <c r="A6" s="3" t="s">
        <v>241</v>
      </c>
      <c r="B6" s="3" t="s">
        <v>242</v>
      </c>
      <c r="C6" s="3" t="s">
        <v>243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3" width="68.7109375" customWidth="1"/>
  </cols>
  <sheetData>
    <row r="1" spans="1:3" ht="35" customHeight="1">
      <c r="A1" s="2" t="s">
        <v>244</v>
      </c>
      <c r="B1" s="2" t="s">
        <v>245</v>
      </c>
      <c r="C1" s="2" t="s">
        <v>246</v>
      </c>
    </row>
    <row r="2" spans="1:3" ht="100" customHeight="1">
      <c r="A2" s="3" t="s">
        <v>247</v>
      </c>
      <c r="B2" s="3" t="s">
        <v>248</v>
      </c>
      <c r="C2" s="3" t="s">
        <v>249</v>
      </c>
    </row>
    <row r="3" spans="1:3" ht="100" customHeight="1">
      <c r="A3" s="3" t="s">
        <v>250</v>
      </c>
      <c r="B3" s="3" t="s">
        <v>251</v>
      </c>
      <c r="C3" s="3" t="s">
        <v>252</v>
      </c>
    </row>
    <row r="4" spans="1:3" ht="100" customHeight="1">
      <c r="A4" s="3" t="s">
        <v>253</v>
      </c>
      <c r="B4" s="3" t="s">
        <v>254</v>
      </c>
      <c r="C4" s="3" t="s">
        <v>255</v>
      </c>
    </row>
    <row r="5" spans="1:3" ht="100" customHeight="1">
      <c r="A5" s="3" t="s">
        <v>256</v>
      </c>
      <c r="B5" s="3" t="s">
        <v>257</v>
      </c>
      <c r="C5" s="3" t="s">
        <v>258</v>
      </c>
    </row>
    <row r="6" spans="1:3" ht="100" customHeight="1">
      <c r="A6" s="3" t="s">
        <v>259</v>
      </c>
      <c r="B6" s="3" t="s">
        <v>260</v>
      </c>
      <c r="C6" s="3" t="s">
        <v>261</v>
      </c>
    </row>
    <row r="7" spans="1:3" ht="100" customHeight="1">
      <c r="A7" s="3" t="s">
        <v>262</v>
      </c>
      <c r="B7" s="3" t="s">
        <v>263</v>
      </c>
      <c r="C7" s="3" t="s">
        <v>264</v>
      </c>
    </row>
    <row r="8" spans="1:3" ht="100" customHeight="1">
      <c r="A8" s="3" t="s">
        <v>265</v>
      </c>
      <c r="B8" s="3" t="s">
        <v>266</v>
      </c>
      <c r="C8" s="3" t="s">
        <v>267</v>
      </c>
    </row>
    <row r="9" spans="1:3" ht="100" customHeight="1">
      <c r="A9" s="3" t="s">
        <v>268</v>
      </c>
      <c r="B9" s="3" t="s">
        <v>269</v>
      </c>
      <c r="C9" s="3" t="s">
        <v>270</v>
      </c>
    </row>
    <row r="10" spans="1:3" ht="100" customHeight="1">
      <c r="A10" s="3" t="s">
        <v>271</v>
      </c>
      <c r="B10" s="3" t="s">
        <v>272</v>
      </c>
      <c r="C10" s="3" t="s">
        <v>273</v>
      </c>
    </row>
    <row r="11" spans="1:3" ht="100" customHeight="1">
      <c r="A11" s="3" t="s">
        <v>274</v>
      </c>
      <c r="B11" s="3" t="s">
        <v>275</v>
      </c>
      <c r="C11" s="3" t="s">
        <v>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3" width="68.7109375" customWidth="1"/>
  </cols>
  <sheetData>
    <row r="1" spans="1:3" ht="35" customHeight="1">
      <c r="A1" s="2" t="s">
        <v>277</v>
      </c>
      <c r="B1" s="2" t="s">
        <v>278</v>
      </c>
      <c r="C1" s="2" t="s">
        <v>279</v>
      </c>
    </row>
    <row r="2" spans="1:3" ht="100" customHeight="1">
      <c r="A2" s="3" t="s">
        <v>49</v>
      </c>
      <c r="B2" s="3" t="s">
        <v>280</v>
      </c>
      <c r="C2" s="3" t="s">
        <v>281</v>
      </c>
    </row>
    <row r="3" spans="1:3" ht="100" customHeight="1">
      <c r="A3" s="3" t="s">
        <v>70</v>
      </c>
      <c r="B3" s="3" t="s">
        <v>282</v>
      </c>
      <c r="C3" s="3" t="s">
        <v>283</v>
      </c>
    </row>
    <row r="4" spans="1:3" ht="100" customHeight="1">
      <c r="A4" s="3" t="s">
        <v>81</v>
      </c>
      <c r="B4" s="3" t="s">
        <v>284</v>
      </c>
      <c r="C4" s="3" t="s">
        <v>285</v>
      </c>
    </row>
    <row r="5" spans="1:3" ht="100" customHeight="1">
      <c r="A5" s="3" t="s">
        <v>90</v>
      </c>
      <c r="B5" s="3" t="s">
        <v>286</v>
      </c>
      <c r="C5" s="3" t="s">
        <v>287</v>
      </c>
    </row>
    <row r="6" spans="1:3" ht="100" customHeight="1">
      <c r="A6" s="3" t="s">
        <v>99</v>
      </c>
      <c r="B6" s="3" t="s">
        <v>288</v>
      </c>
      <c r="C6" s="3" t="s">
        <v>289</v>
      </c>
    </row>
    <row r="7" spans="1:3" ht="100" customHeight="1">
      <c r="A7" s="3" t="s">
        <v>108</v>
      </c>
      <c r="B7" s="3" t="s">
        <v>290</v>
      </c>
      <c r="C7" s="3" t="s">
        <v>291</v>
      </c>
    </row>
    <row r="8" spans="1:3" ht="100" customHeight="1">
      <c r="A8" s="3" t="s">
        <v>118</v>
      </c>
      <c r="B8" s="3" t="s">
        <v>292</v>
      </c>
      <c r="C8" s="3" t="s">
        <v>293</v>
      </c>
    </row>
    <row r="9" spans="1:3" ht="100" customHeight="1">
      <c r="A9" s="3" t="s">
        <v>126</v>
      </c>
      <c r="B9" s="3" t="s">
        <v>294</v>
      </c>
      <c r="C9" s="3" t="s">
        <v>295</v>
      </c>
    </row>
    <row r="10" spans="1:3" ht="100" customHeight="1">
      <c r="A10" s="3" t="s">
        <v>140</v>
      </c>
      <c r="B10" s="3" t="s">
        <v>296</v>
      </c>
      <c r="C10" s="3" t="s">
        <v>297</v>
      </c>
    </row>
    <row r="11" spans="1:3" ht="100" customHeight="1">
      <c r="A11" s="3" t="s">
        <v>150</v>
      </c>
      <c r="B11" s="3" t="s">
        <v>298</v>
      </c>
      <c r="C11" s="3" t="s">
        <v>299</v>
      </c>
    </row>
    <row r="12" spans="1:3" ht="100" customHeight="1">
      <c r="A12" s="3" t="s">
        <v>161</v>
      </c>
      <c r="B12" s="3" t="s">
        <v>300</v>
      </c>
      <c r="C12" s="3" t="s">
        <v>301</v>
      </c>
    </row>
    <row r="13" spans="1:3" ht="100" customHeight="1">
      <c r="A13" s="3" t="s">
        <v>173</v>
      </c>
      <c r="B13" s="3" t="s">
        <v>302</v>
      </c>
      <c r="C13" s="3" t="s">
        <v>303</v>
      </c>
    </row>
    <row r="14" spans="1:3" ht="100" customHeight="1">
      <c r="A14" s="3" t="s">
        <v>183</v>
      </c>
      <c r="B14" s="3" t="s">
        <v>304</v>
      </c>
      <c r="C14" s="3" t="s">
        <v>305</v>
      </c>
    </row>
    <row r="15" spans="1:3" ht="100" customHeight="1">
      <c r="A15" s="3" t="s">
        <v>306</v>
      </c>
      <c r="B15" s="3" t="s">
        <v>307</v>
      </c>
      <c r="C15" s="3" t="s">
        <v>308</v>
      </c>
    </row>
    <row r="16" spans="1:3" ht="100" customHeight="1">
      <c r="A16" s="3" t="s">
        <v>309</v>
      </c>
      <c r="B16" s="3" t="s">
        <v>310</v>
      </c>
      <c r="C16" s="3" t="s">
        <v>311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3" width="68.7109375" customWidth="1"/>
  </cols>
  <sheetData>
    <row r="1" spans="1:3" ht="35" customHeight="1">
      <c r="A1" s="2" t="s">
        <v>312</v>
      </c>
      <c r="B1" s="2" t="s">
        <v>313</v>
      </c>
      <c r="C1" s="2" t="s">
        <v>314</v>
      </c>
    </row>
    <row r="2" spans="1:3" ht="100" customHeight="1">
      <c r="A2" s="3" t="s">
        <v>315</v>
      </c>
      <c r="B2" s="3" t="s">
        <v>316</v>
      </c>
      <c r="C2" s="3" t="s">
        <v>317</v>
      </c>
    </row>
    <row r="3" spans="1:3" ht="100" customHeight="1">
      <c r="A3" s="3" t="s">
        <v>318</v>
      </c>
      <c r="B3" s="3" t="s">
        <v>319</v>
      </c>
      <c r="C3" s="3" t="s">
        <v>320</v>
      </c>
    </row>
    <row r="4" spans="1:3" ht="100" customHeight="1">
      <c r="A4" s="3" t="s">
        <v>321</v>
      </c>
      <c r="B4" s="3" t="s">
        <v>322</v>
      </c>
      <c r="C4" s="3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Listas</vt:lpstr>
      <vt:lpstr>CRM</vt:lpstr>
      <vt:lpstr>Qualificados</vt:lpstr>
      <vt:lpstr>Pendentes</vt:lpstr>
      <vt:lpstr>Resumo</vt:lpstr>
      <vt:lpstr>Como usar</vt:lpstr>
      <vt:lpstr>Critérios das notas</vt:lpstr>
      <vt:lpstr>Mapa do segmento</vt:lpstr>
      <vt:lpstr>Fontes</vt:lpstr>
      <vt:lpstr>Descartados</vt:lpstr>
      <vt:lpstr>Etapas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CRM de clínicas — pesquisa pública verificada</dc:title>
  <dc:creator>Quartier</dc:creator>
  <dc:description>Consulta pública em 07/10/2026; orçamento é estimativa comercial, não dado financeiro.</dc:description>
  <cp:lastModifiedBy>Quartier</cp:lastModifiedBy>
  <dcterms:created xsi:type="dcterms:W3CDTF">2026-10-07T23:37:44Z</dcterms:created>
  <dcterms:modified xsi:type="dcterms:W3CDTF">2026-10-07T23:37:44Z</dcterms:modified>
</cp:coreProperties>
</file>